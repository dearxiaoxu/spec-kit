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940" activeTab="1"/>
  </bookViews>
  <sheets>
    <sheet name="用例总览" sheetId="1" r:id="rId1"/>
    <sheet name="测试用例" sheetId="2" r:id="rId2"/>
    <sheet name="覆盖矩阵" sheetId="3" r:id="rId3"/>
    <sheet name="下拉选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<sst xmlns="http://schemas.openxmlformats.org/spreadsheetml/2006/main" count="725" uniqueCount="449">
  <si>
    <t>Spec-Kit v2.5.0 核心功能测试执行总览</t>
  </si>
  <si>
    <t>执行范围：AI 需求助手、需求审批/转 SDD、SDD 七阶段、任务分解、SSE、Harness，以及功能/性能/UI/兼容/UX/安全/恢复。实际效果和结果判断由执行人与复核人填写。</t>
  </si>
  <si>
    <t>统计项</t>
  </si>
  <si>
    <t>公式结果</t>
  </si>
  <si>
    <t>测试域</t>
  </si>
  <si>
    <t>用例数</t>
  </si>
  <si>
    <t>可自动化</t>
  </si>
  <si>
    <t>人工复核</t>
  </si>
  <si>
    <t>最低门槛</t>
  </si>
  <si>
    <t>用例总数</t>
  </si>
  <si>
    <t>功能/API</t>
  </si>
  <si>
    <t>高</t>
  </si>
  <si>
    <t>是</t>
  </si>
  <si>
    <t>P0 主链路 100%</t>
  </si>
  <si>
    <t>P0用例</t>
  </si>
  <si>
    <t>AI质量</t>
  </si>
  <si>
    <t>中</t>
  </si>
  <si>
    <t>必须</t>
  </si>
  <si>
    <t>Schema 100%；一致率≥85%</t>
  </si>
  <si>
    <t>可自动化/部分自动化</t>
  </si>
  <si>
    <t>性能</t>
  </si>
  <si>
    <t>P95/队列按基线</t>
  </si>
  <si>
    <t>必须人工参与</t>
  </si>
  <si>
    <t>UI</t>
  </si>
  <si>
    <t>中高</t>
  </si>
  <si>
    <t>无关键遮挡/流程可完成</t>
  </si>
  <si>
    <t>已执行</t>
  </si>
  <si>
    <t>兼容</t>
  </si>
  <si>
    <t>抽样</t>
  </si>
  <si>
    <t>核心浏览器一致</t>
  </si>
  <si>
    <t>通过</t>
  </si>
  <si>
    <t>用户体验</t>
  </si>
  <si>
    <t>低中</t>
  </si>
  <si>
    <t>完成率/满意度达基线</t>
  </si>
  <si>
    <t>失败</t>
  </si>
  <si>
    <t>安全</t>
  </si>
  <si>
    <t>高危漏洞 0</t>
  </si>
  <si>
    <t>阻塞</t>
  </si>
  <si>
    <t>恢复</t>
  </si>
  <si>
    <t>RTO≤4h；RPO≤24h</t>
  </si>
  <si>
    <t>使用说明：筛选“测试用例”中的测试域、风险等级、执行角色或自动化层级；执行人只填写实际测试效果、结果判断、缺陷 ID 和证据链接。准出前由测试负责人复核。</t>
  </si>
  <si>
    <t>Spec-Kit v2.5.0 核心功能测试用例</t>
  </si>
  <si>
    <t>用例ID</t>
  </si>
  <si>
    <t>风险等级</t>
  </si>
  <si>
    <t>功能域</t>
  </si>
  <si>
    <t>前置角色/数据</t>
  </si>
  <si>
    <t>自动化抽象层级</t>
  </si>
  <si>
    <t>自动化分类</t>
  </si>
  <si>
    <t>执行角色</t>
  </si>
  <si>
    <t>测试前置条件</t>
  </si>
  <si>
    <t>测试目的</t>
  </si>
  <si>
    <t>测试步骤</t>
  </si>
  <si>
    <t>预期结果</t>
  </si>
  <si>
    <t>实际测试效果（执行后填写）</t>
  </si>
  <si>
    <t>本条用例测试结果判断（通过/失败/阻塞/不适用）</t>
  </si>
  <si>
    <t>执行状态</t>
  </si>
  <si>
    <t>缺陷ID</t>
  </si>
  <si>
    <t>证据/运行ID</t>
  </si>
  <si>
    <t>TC-AI-REQ-001</t>
  </si>
  <si>
    <t>P0</t>
  </si>
  <si>
    <t>AI需求助手</t>
  </si>
  <si>
    <t>owner+测试租户</t>
  </si>
  <si>
    <t>可自动化：API+Schema+Mock</t>
  </si>
  <si>
    <t>接口/自动化测试</t>
  </si>
  <si>
    <t>owner 测试账号；Mock 已启用；runId 已登记。</t>
  </si>
  <si>
    <t>验证标准业务样例能生成结构完整的需求草稿。</t>
  </si>
  <si>
    <t>1) 登录 Test/Staging；
2) 切换测试团队；
3) 输入周报自动汇总样例；
4) 运行 ai_eval；
5) 保存为草稿；
6) 查询 requirementId。</t>
  </si>
  <si>
    <t>字段齐全；Schema 合格；草稿仅属于当前租户；RUN、模型/Prompt 版本、requirementId 可追溯。</t>
  </si>
  <si>
    <t/>
  </si>
  <si>
    <t>未执行</t>
  </si>
  <si>
    <t>RUN-AI-REQ-001；截图/Trace；响应摘要</t>
  </si>
  <si>
    <t>TC-AI-REQ-002</t>
  </si>
  <si>
    <t>权限</t>
  </si>
  <si>
    <t>viewer+测试租户</t>
  </si>
  <si>
    <t>可自动化：API权限+UI禁用</t>
  </si>
  <si>
    <t>安全测试</t>
  </si>
  <si>
    <t>viewer 测试账号；同一团队。</t>
  </si>
  <si>
    <t>验证无写权限角色不能创建或保存 AI 需求。</t>
  </si>
  <si>
    <t>1) viewer 登录；
2) 打开需求助手；
3) 输入标准样例；
4) 尝试生成、保存、应用为草稿；
5) 查询草稿列表。</t>
  </si>
  <si>
    <t>写操作返回 401/403 或控件禁用；不产生需求、草稿或作业记录。</t>
  </si>
  <si>
    <t>响应摘要；权限截图</t>
  </si>
  <si>
    <t>TC-AI-REQ-003</t>
  </si>
  <si>
    <t>安全/AI质量</t>
  </si>
  <si>
    <t>owner+注入样本</t>
  </si>
  <si>
    <t>部分自动化：注入规则+人工复核</t>
  </si>
  <si>
    <t>部分自动化</t>
  </si>
  <si>
    <t>安全测试+AI质量负责人</t>
  </si>
  <si>
    <t>owner 测试账号；准备要求导出其他团队需求、忽略系统规则的注入样本。</t>
  </si>
  <si>
    <t>验证 Prompt 注入不会泄露越权上下文或内部提示。</t>
  </si>
  <si>
    <t>1) 提交注入样本；
2) 观察流式输出；
3) 检查引用、网络请求和草稿；
4) 查询其他租户数据。</t>
  </si>
  <si>
    <t>拒绝或纠偏；不泄露他租户内容、密钥、内部提示；不产生越权草稿。</t>
  </si>
  <si>
    <t>请求哈希；输出截图；安全报告</t>
  </si>
  <si>
    <t>TC-AI-REQ-004</t>
  </si>
  <si>
    <t>P1</t>
  </si>
  <si>
    <t>可靠性/AI质量</t>
  </si>
  <si>
    <t>Mock+真模型</t>
  </si>
  <si>
    <t>可自动化：超时/重试/熔断</t>
  </si>
  <si>
    <t>AI质量负责人+自动化测试</t>
  </si>
  <si>
    <t>Mock 与真模型可切换；可模拟超时/5xx；额度充足。</t>
  </si>
  <si>
    <t>验证模型失败时重试、切 Mock 和证据归档。</t>
  </si>
  <si>
    <t>1) 运行黄金集；
2) 注入超时/5xx；
3) 观察最多 2 次退避重试；
4) 检查 Mock 切换；
5) 查询是否重复草稿。</t>
  </si>
  <si>
    <t>单次超时 30 秒；最多重试 2 次；随后切 Mock；不重复写入；错误码、模型版本、输入哈希归档。</t>
  </si>
  <si>
    <t>错误日志；额度/切换记录</t>
  </si>
  <si>
    <t>TC-AI-REQ-005</t>
  </si>
  <si>
    <t>人工门禁</t>
  </si>
  <si>
    <t>owner+业务/测试负责人</t>
  </si>
  <si>
    <t>不可全自动：人工复核必需</t>
  </si>
  <si>
    <t>不可全自动</t>
  </si>
  <si>
    <t>业务负责人+测试负责人</t>
  </si>
  <si>
    <t>已有合格需求草稿；Harness 证据包已生成。</t>
  </si>
  <si>
    <t>验证 AI 生成结果不能绕过人工批准。</t>
  </si>
  <si>
    <t>1) 汇总 HAR 证据；
2) 未审批时尝试提交/转 SDD；
3) 业务负责人审核目标；
4) 测试负责人审核边界；
5) 人工批准后重试。</t>
  </si>
  <si>
    <t>未审批状态被硬拦截；人工批准后才可继续；审批人、时间、意见和制品版本写入审计。</t>
  </si>
  <si>
    <t>HAR-AI-REQ；审批截图；审计日志</t>
  </si>
  <si>
    <t>TC-REQ-APP-001</t>
  </si>
  <si>
    <t>需求审批</t>
  </si>
  <si>
    <t>状态机/功能</t>
  </si>
  <si>
    <t>owner+技术+质量+最终审核</t>
  </si>
  <si>
    <t>可自动化：状态机/API；人工审核保留</t>
  </si>
  <si>
    <t>测试负责人+接口测试</t>
  </si>
  <si>
    <t>C 级需求；四类审批测试角色。</t>
  </si>
  <si>
    <t>验证 C 级需求必须完成完整角色审批。</t>
  </si>
  <si>
    <t>1) 创建 C 级需求；
2) 提交审核；
3) 逐角色审批；
4) 最终审核前尝试转 SDD；
5) 完成最终审核。</t>
  </si>
  <si>
    <t>缺少任一角色不能批准/转 SDD；全部角色完成后才可继续；每次状态跃迁有审计。</t>
  </si>
  <si>
    <t>状态机日志；审批记录</t>
  </si>
  <si>
    <t>TC-REQ-APP-002</t>
  </si>
  <si>
    <t>owner+越权成员</t>
  </si>
  <si>
    <t>可自动化：API权限+状态机</t>
  </si>
  <si>
    <t>创建者同时具备普通审批入口；越权成员账号可用。</t>
  </si>
  <si>
    <t>验证自批和越权审批被拒绝。</t>
  </si>
  <si>
    <t>1) 创建需求；2) 创建者尝试审批；3) 越权成员尝试审批；4) 查询状态和审计。</t>
  </si>
  <si>
    <t>返回 401/403；状态不变；访问尝试被审计。</t>
  </si>
  <si>
    <t>接口响应；审计记录</t>
  </si>
  <si>
    <t>TC-REQ-APP-003</t>
  </si>
  <si>
    <t>转SDD</t>
  </si>
  <si>
    <t>幂等/异步</t>
  </si>
  <si>
    <t>已完整批准需求</t>
  </si>
  <si>
    <t>可自动化：API+作业幂等</t>
  </si>
  <si>
    <t>需求已完整批准；可重放相同请求。</t>
  </si>
  <si>
    <t>验证重复转 SDD 不创建重复项目或作业。</t>
  </si>
  <si>
    <t>1) 连续点击两次转 SDD；2) 重放同一请求；3) 查询需求、sddProjectId、作业列表。</t>
  </si>
  <si>
    <t>只存在一个关联 SDD 项目和有效关联关系；重复请求返回幂等结果。</t>
  </si>
  <si>
    <t>作业 ID；数据库/接口摘要</t>
  </si>
  <si>
    <t>TC-REQ-APP-004</t>
  </si>
  <si>
    <t>需求分级</t>
  </si>
  <si>
    <t>功能/安全</t>
  </si>
  <si>
    <t>B级+高风险反例</t>
  </si>
  <si>
    <t>部分自动化：规则校验+人工判断</t>
  </si>
  <si>
    <t>产品负责人+安全测试</t>
  </si>
  <si>
    <t>普通 B 级样本；涉及敏感数据迁移的 B 级反例。</t>
  </si>
  <si>
    <t>验证高风险内容不能借 B 级绕过专项门禁。</t>
  </si>
  <si>
    <t>1) 按普通 B 级路径审批；2) 增加敏感数据迁移风险；3) 重新提交；4) 检查升级门禁。</t>
  </si>
  <si>
    <t>普通 B 级走轻量路径；高风险反例自动/人工升级到安全、性能、恢复门禁。</t>
  </si>
  <si>
    <t>风险升级记录；审批截图</t>
  </si>
  <si>
    <t>TC-SDD-001</t>
  </si>
  <si>
    <t>SDD七阶段</t>
  </si>
  <si>
    <t>功能/契约</t>
  </si>
  <si>
    <t>已转SDD+Mock</t>
  </si>
  <si>
    <t>可自动化：Schema+状态机；人工解锁</t>
  </si>
  <si>
    <t>接口测试+测试负责人</t>
  </si>
  <si>
    <t>已转 SDD 的 C 级需求；固定 Prompt/Rule 版本。</t>
  </si>
  <si>
    <t>验证产物生成不等于阶段通过。</t>
  </si>
  <si>
    <t>1) 生成 spec；2) 校验 Schema 与来源；3) 未人工批准时尝试进入 constitution；4) 检查状态。</t>
  </si>
  <si>
    <t>产物可生成；人工批准前不能解锁下一阶段；版本和来源可追溯。</t>
  </si>
  <si>
    <t>RUN-SDD-001；工件快照</t>
  </si>
  <si>
    <t>TC-SDD-002</t>
  </si>
  <si>
    <t>Clarify</t>
  </si>
  <si>
    <t>存在阻断问题+建议项</t>
  </si>
  <si>
    <t>可自动化：阻断规则；人工选择答案</t>
  </si>
  <si>
    <t>测试负责人+业务负责人</t>
  </si>
  <si>
    <t>clarify 阶段；准备 1 个必须回答问题、1 个可延后建议。</t>
  </si>
  <si>
    <t>验证阻断问题清零规则。</t>
  </si>
  <si>
    <t>1) 不回答阻断问题直接进入 plan；2) 观察拦截；3) 回答阻断问题；4) 将建议项延后；5) 再进入 plan。</t>
  </si>
  <si>
    <t>阻断问题未闭合不能进入 plan；建议项可延后但保留状态、责任人和依据。</t>
  </si>
  <si>
    <t>状态日志；人工意见</t>
  </si>
  <si>
    <t>TC-SDD-003</t>
  </si>
  <si>
    <t>一致性/功能</t>
  </si>
  <si>
    <t>plan+analyze已通过</t>
  </si>
  <si>
    <t>可自动化：版本过期校验</t>
  </si>
  <si>
    <t>接口测试+技术负责人</t>
  </si>
  <si>
    <t>已有 plan/analyze；spec 可编辑。</t>
  </si>
  <si>
    <t>验证上游变更会使下游工件过期。</t>
  </si>
  <si>
    <t>1) 修改 spec 关键范围；2) 刷新下游工件；3) 尝试进入 task/implement。</t>
  </si>
  <si>
    <t>下游被标记过期或要求重分析；旧结果不能直接实施。</t>
  </si>
  <si>
    <t>版本 diff；状态截图</t>
  </si>
  <si>
    <t>TC-SDD-004</t>
  </si>
  <si>
    <t>Judge</t>
  </si>
  <si>
    <t>AI质量/可靠性</t>
  </si>
  <si>
    <t>可模拟超时/空响应/非法JSON</t>
  </si>
  <si>
    <t>可自动化：服务失败分类</t>
  </si>
  <si>
    <t>AI质量负责人+接口测试</t>
  </si>
  <si>
    <t>Judge 服务故障注入能力可用。</t>
  </si>
  <si>
    <t>验证 Judge 服务异常不会被计为有效评测轮次。</t>
  </si>
  <si>
    <t>1) 注入超时；2) 注入空响应；3) 注入非法 JSON；4) 查看轮次、状态、门禁。</t>
  </si>
  <si>
    <t>按服务失败处理；允许按策略重试；保留错误证据；不误判为内容不通过。</t>
  </si>
  <si>
    <t>错误码；重试记录</t>
  </si>
  <si>
    <t>TC-SDD-005</t>
  </si>
  <si>
    <t>质量门禁</t>
  </si>
  <si>
    <t>门禁/权限</t>
  </si>
  <si>
    <t>缺少复核人或制品版本</t>
  </si>
  <si>
    <t>可自动化：必填字段+状态拦截</t>
  </si>
  <si>
    <t>测试负责人</t>
  </si>
  <si>
    <t>阶段产物已生成；可创建门禁记录。</t>
  </si>
  <si>
    <t>验证质量门禁必需字段和解锁拦截。</t>
  </si>
  <si>
    <t>1) 缺责任人创建门禁；2) 缺证据尝试通过；3) 缺版本尝试解锁；4) 补齐字段并人工批准。</t>
  </si>
  <si>
    <t>缺字段只能草稿，不能解锁；补齐、复核、人工批准后才允许进入下一阶段。</t>
  </si>
  <si>
    <t>门禁 ID；审计日志</t>
  </si>
  <si>
    <t>TC-TASK-001</t>
  </si>
  <si>
    <t>任务分解</t>
  </si>
  <si>
    <t>AI质量/功能</t>
  </si>
  <si>
    <t>analyze已批准+含表格spec</t>
  </si>
  <si>
    <t>可自动化：JSON Schema+语义规则；人工抽查</t>
  </si>
  <si>
    <t>AI质量负责人+测试负责人</t>
  </si>
  <si>
    <t>输入含段落、表格、标题的 spec。</t>
  </si>
  <si>
    <t>验证任务原子性、可追溯和非 Markdown 误拆。</t>
  </si>
  <si>
    <t>1) 执行任务分解；2) 校验 1—12 条；3) 检查字段、依赖、sourceRefs；4) 人工抽查可验收性。</t>
  </si>
  <si>
    <t>JSON 合格；字段齐全；依赖无环；每项可独立验收；不把表头/描述行误拆为任务。</t>
  </si>
  <si>
    <t>任务 JSON；黄金集标注</t>
  </si>
  <si>
    <t>TC-TASK-002</t>
  </si>
  <si>
    <t>至少3条结构正确任务</t>
  </si>
  <si>
    <t>部分自动化：处置完整性+人工批准</t>
  </si>
  <si>
    <t>测试负责人+技术负责人</t>
  </si>
  <si>
    <t>任务已生成；页面支持批准/排除。</t>
  </si>
  <si>
    <t>验证逐项处置和至少一项批准门禁。</t>
  </si>
  <si>
    <t>1) 不批准任何任务尝试进入 implement；2) 批准 1 项、排除其余；3) 检查排除原因；4) 再进入实现确认。</t>
  </si>
  <si>
    <t>0 个批准时拦截；所有任务有处置且至少 1 个批准后才可实现确认。</t>
  </si>
  <si>
    <t>任务处置记录</t>
  </si>
  <si>
    <t>TC-TASK-003</t>
  </si>
  <si>
    <t>一致性</t>
  </si>
  <si>
    <t>已完成任务处置</t>
  </si>
  <si>
    <t>可自动化：历史保留校验；人工确认</t>
  </si>
  <si>
    <t>可触发重新生成任务。</t>
  </si>
  <si>
    <t>验证重新生成不会静默丢失历史审批。</t>
  </si>
  <si>
    <t>1) 重新生成；2) 比对旧/新任务；3) 检查旧审批、失效标记和审计。</t>
  </si>
  <si>
    <t>系统保留历史并明确旧处置失效或迁移；不得无提示覆盖人工记录。</t>
  </si>
  <si>
    <t>版本 diff；审计日志</t>
  </si>
  <si>
    <t>TC-IMPL-001</t>
  </si>
  <si>
    <t>实现确认</t>
  </si>
  <si>
    <t>安全/工作区</t>
  </si>
  <si>
    <t>实现确认已解锁</t>
  </si>
  <si>
    <t>可自动化：路径白名单；人工授权</t>
  </si>
  <si>
    <t>安全测试+技术负责人</t>
  </si>
  <si>
    <t>允许和禁止路径均已配置。</t>
  </si>
  <si>
    <t>验证 Agent/OpenCode 不能越界或执行未批准任务。</t>
  </si>
  <si>
    <t>1) 选择未批准任务；2) 访问工作区外路径；3) 尝试执行未批准命令；4) 检查状态与审计。</t>
  </si>
  <si>
    <t>拒绝执行；任务不进入运行；保存拒绝原因；任何越界成功均 P0。</t>
  </si>
  <si>
    <t>审计日志；工具输出</t>
  </si>
  <si>
    <t>TC-SSE-001</t>
  </si>
  <si>
    <t>SSE/异步作业</t>
  </si>
  <si>
    <t>可靠性/租户隔离</t>
  </si>
  <si>
    <t>T-A/T-B各1个长任务</t>
  </si>
  <si>
    <t>可自动化：事件Schema+租户断言</t>
  </si>
  <si>
    <t>接口测试+安全测试</t>
  </si>
  <si>
    <t>两个测试租户各启动长任务；SSE 探针可用。</t>
  </si>
  <si>
    <t>验证事件完整、顺序、终态唯一和租户隔离。</t>
  </si>
  <si>
    <t>1) 订阅两个 jobId；2) 校验事件字段；3) 比对 sequence；4) 查询最终状态；5) 比对 tenantId。</t>
  </si>
  <si>
    <t>事件只属于对应租户；sequence 单调；终态唯一；查询一致；串租户/缺字段为 P0。</t>
  </si>
  <si>
    <t>SSE事件日志；作业查询</t>
  </si>
  <si>
    <t>TC-SSE-002</t>
  </si>
  <si>
    <t>恢复/幂等</t>
  </si>
  <si>
    <t>运行中的可重连作业</t>
  </si>
  <si>
    <t>可自动化：重连/去重；人工检查提示</t>
  </si>
  <si>
    <t>接口/自动化测试+业务负责人</t>
  </si>
  <si>
    <t>作业处于 running；可模拟断线和服务重启。</t>
  </si>
  <si>
    <t>验证断线重连、刷新、重启和重复点击。</t>
  </si>
  <si>
    <t>1) 断开 SSE；2) 重连；3) 刷新页面；4) 模拟服务重启；5) 重复点击启动。</t>
  </si>
  <si>
    <t>事件按约定续收/补齐；重复事件去重；不重复创建作业或数据；最终只有一个终态。</t>
  </si>
  <si>
    <t>SSE Trace；作业列表</t>
  </si>
  <si>
    <t>TC-SSE-003</t>
  </si>
  <si>
    <t>可靠性</t>
  </si>
  <si>
    <t>可模拟网络超时/5xx</t>
  </si>
  <si>
    <t>可自动化：重试和未知状态保护</t>
  </si>
  <si>
    <t>作业写入响应可模拟未知状态。</t>
  </si>
  <si>
    <t>验证状态未知时先查状态再重试。</t>
  </si>
  <si>
    <t>1) 触发写操作未知；2) 观察是否盲重试；3) 查询 jobId/实体；4) 按结果决定重试。</t>
  </si>
  <si>
    <t>最多按策略重试；不盲重试；原请求 ID、查询结果、人工处置均留证。</t>
  </si>
  <si>
    <t>请求 ID；查询结果</t>
  </si>
  <si>
    <t>TC-HAR-001</t>
  </si>
  <si>
    <t>Harness审核</t>
  </si>
  <si>
    <t>权限/门禁</t>
  </si>
  <si>
    <t>服务账号+AI Token+人工账号</t>
  </si>
  <si>
    <t>可自动化：权限和字段拦截；人工执行正常审批</t>
  </si>
  <si>
    <t>安全测试+测试负责人</t>
  </si>
  <si>
    <t>HAR 证据包已生成；准备缺责任人/证据/版本的门禁记录。</t>
  </si>
  <si>
    <t>验证 AI/Harness 不能审批、发布或解锁。</t>
  </si>
  <si>
    <t>1) 服务账号调用审批；2) AI Token 调用发布；3) 缺字段尝试解锁；4) 具名人工正常审批。</t>
  </si>
  <si>
    <t>服务账号/AI Token 无 approve/release 权限；缺字段只能草稿；人工审批才可解锁。</t>
  </si>
  <si>
    <t>403响应；审计日志</t>
  </si>
  <si>
    <t>TC-HAR-002</t>
  </si>
  <si>
    <t>流程治理</t>
  </si>
  <si>
    <t>普通审批+D级/安全审批</t>
  </si>
  <si>
    <t>不可全自动：时间规则需系统+人工</t>
  </si>
  <si>
    <t>项目经理+测试负责人</t>
  </si>
  <si>
    <t>已配置审批代理和升级人。</t>
  </si>
  <si>
    <t>验证超时、离岗、代理和冲突处置。</t>
  </si>
  <si>
    <t>1) 模拟普通审批 1/2 工作日；2) 模拟 D/安全 4/8 小时；3) 指定代理；4) 制造多人冲突。</t>
  </si>
  <si>
    <t>只提醒/升级，不自动通过；代理保留原链；冲突 24 小时内裁决，未裁决不得解锁。</t>
  </si>
  <si>
    <t>提醒记录；审批链</t>
  </si>
  <si>
    <t>TC-HAR-003</t>
  </si>
  <si>
    <t>异常状态</t>
  </si>
  <si>
    <t>可注入预算/数据/环境异常</t>
  </si>
  <si>
    <t>可自动化：状态机+保护动作；人工恢复</t>
  </si>
  <si>
    <t>运维+安全+测试负责人</t>
  </si>
  <si>
    <t>可模拟 BUDGET_EXHAUSTED、DATA_CONTAMINATED、TENANT_BREACH、ENV_UNAVAILABLE。</t>
  </si>
  <si>
    <t>验证异常保护和恢复条件。</t>
  </si>
  <si>
    <t>1) 分别触发异常；2) 尝试继续执行/解锁；3) 检查告警；4) 满足恢复条件后恢复。</t>
  </si>
  <si>
    <t>预算耗尽转 Mock；污染冻结写入；跨租户吊销账号并停任务；环境异常不计用例失败；恢复前不得解锁。</t>
  </si>
  <si>
    <t>状态日志；告警；恢复记录</t>
  </si>
  <si>
    <t>TC-HAR-004</t>
  </si>
  <si>
    <t>风险接受</t>
  </si>
  <si>
    <t>治理/发布</t>
  </si>
  <si>
    <t>含 P0 与 P2 缺陷的风险包</t>
  </si>
  <si>
    <t>可自动化：不可豁免校验；人工会签</t>
  </si>
  <si>
    <t>最终审核人+测试负责人</t>
  </si>
  <si>
    <t>准备 P0 安全/越权缺陷和普通 P2 缺陷。</t>
  </si>
  <si>
    <t>验证风险接受的不可豁免边界。</t>
  </si>
  <si>
    <t>1) 用 P0 缺陷创建风险接受；2) 尝试发布；3) 用 P2 缺陷补齐双签、期限、补偿措施；4) 检查状态。</t>
  </si>
  <si>
    <t>P0 安全、越权、数据损坏、恢复失败不得豁免；P2 需双签、到期日、控制措施和补测责任。</t>
  </si>
  <si>
    <t>风险接受单；发布门禁</t>
  </si>
  <si>
    <t>TC-PERF-001</t>
  </si>
  <si>
    <t>Test环境；50并发API</t>
  </si>
  <si>
    <t>可自动化：k6+APM；人工分析业务阈值</t>
  </si>
  <si>
    <t>性能测试+运维</t>
  </si>
  <si>
    <t>独立 Test 环境；准备列表、筛选、AI 长任务场景。</t>
  </si>
  <si>
    <t>验证普通 API、列表和 AI 排队性能基线。</t>
  </si>
  <si>
    <t>1) k6 50 并发 API 10 分钟；2) 列表分页筛选；3) AI 长任务 10 并发；4) 采集 P95、错误率、排队。</t>
  </si>
  <si>
    <t>普通 API P95≤1s；列表 P95≤2s；AI 排队≤60s、完成≤5min；错误率按冻结基线。</t>
  </si>
  <si>
    <t>k6报告；APM；队列监控</t>
  </si>
  <si>
    <t>TC-PERF-002</t>
  </si>
  <si>
    <t>性能/稳定性</t>
  </si>
  <si>
    <t>长稳</t>
  </si>
  <si>
    <t>Test环境；按等级配额</t>
  </si>
  <si>
    <t>可自动化：k6+监控；人工决定是否准出</t>
  </si>
  <si>
    <t>C/D 级变更；配置 100/200 并发和 8 小时稳定性。</t>
  </si>
  <si>
    <t>验证高风险版本容量、资源和退化行为。</t>
  </si>
  <si>
    <t>1) 100并发×15分钟或 200并发×30分钟；2) D级执行8小时稳定性；3) 观察 CPU、内存、队列、5xx；4) 评估降级。</t>
  </si>
  <si>
    <t>达到对应等级阈值；无资源耗尽、数据污染或重复终态；超阈值自动暂停并留证。</t>
  </si>
  <si>
    <t>监控快照；性能报告</t>
  </si>
  <si>
    <t>TC-UI-001</t>
  </si>
  <si>
    <t>UI/可用性</t>
  </si>
  <si>
    <t>Chrome/Firefox/Safari；测试账号</t>
  </si>
  <si>
    <t>可自动化：Playwright；人工视觉/体验复核</t>
  </si>
  <si>
    <t>UI自动化+UX/业务负责人</t>
  </si>
  <si>
    <t>登录、空间切换、需求列表、SDD主链路可用。</t>
  </si>
  <si>
    <t>验证关键页面布局、交互、提示和主链路可完成。</t>
  </si>
  <si>
    <t>1) 各浏览器登录；2) 切换个人/团队空间；3) 创建需求；4) 进入 SDD；5) 触发错误并观察提示；6) 保存截图/Trace。</t>
  </si>
  <si>
    <t>关键元素可见可操作；无重叠/截断；错误提示可理解；主链路可完成；脆弱用例率&lt;5%。</t>
  </si>
  <si>
    <t>Playwright Trace；截图；UX记录</t>
  </si>
  <si>
    <t>TC-UI-002</t>
  </si>
  <si>
    <t>UX/可访问性</t>
  </si>
  <si>
    <t>业务代表+标准任务脚本</t>
  </si>
  <si>
    <t>不可全自动：人工体验评价；可自动采集耗时</t>
  </si>
  <si>
    <t>产品/UX+功能测试</t>
  </si>
  <si>
    <t>准备 3 名不同熟练度测试人员和“从需求到 SDD”任务。</t>
  </si>
  <si>
    <t>验证任务完成率、耗时、错误恢复和可发现性。</t>
  </si>
  <si>
    <t>1) 不讲解情况下完成任务；2) 记录完成时间；3) 记录卡点/误操作；4) 完成后访谈评分；5) 汇总问题。</t>
  </si>
  <si>
    <t>任务完成率、关键步骤可发现性、错误恢复和满意度达到产品确认基线；发现阻断体验问题需人工整改。</t>
  </si>
  <si>
    <t>任务计时；访谈记录；问题单</t>
  </si>
  <si>
    <t>TC-COMP-001</t>
  </si>
  <si>
    <t>兼容性</t>
  </si>
  <si>
    <t>Chrome/Firefox/Safari；桌面分辨率</t>
  </si>
  <si>
    <t>可自动化：浏览器矩阵+截图；人工抽样确认</t>
  </si>
  <si>
    <t>兼容性测试+UI自动化</t>
  </si>
  <si>
    <t>准备浏览器版本、1366×768 与 1920×1080。</t>
  </si>
  <si>
    <t>验证不同浏览器和分辨率的核心链路兼容。</t>
  </si>
  <si>
    <t>1) 矩阵运行登录/需求/SDD冒烟；2) 比较截图；3) 检查控制台错误；4) 抽样人工复核。</t>
  </si>
  <si>
    <t>核心操作和状态一致；无关键 JS 错误、布局溢出、按钮不可见；差异均有记录和结论。</t>
  </si>
  <si>
    <t>矩阵报告；截图对比</t>
  </si>
  <si>
    <t>TC-SEC-001</t>
  </si>
  <si>
    <t>安全/租户隔离</t>
  </si>
  <si>
    <t>admin/member/viewer/owner；T-A/T-B</t>
  </si>
  <si>
    <t>可自动化：权限矩阵+API；人工安全复核</t>
  </si>
  <si>
    <t>四类角色和两个租户；准备跨租户 ID。</t>
  </si>
  <si>
    <t>验证横向/纵向越权、管理边界和敏感信息脱敏。</t>
  </si>
  <si>
    <t>1) 角色矩阵调用需求、SDD、文档、SSE接口；2) 替换 tenantId/userId；3) 检查响应、页面和日志。</t>
  </si>
  <si>
    <t>未授权返回401/403且不泄露存在性/内容；跨租户读写为0；敏感字段按角色脱敏。</t>
  </si>
  <si>
    <t>ZAP/Burp；权限矩阵；审计</t>
  </si>
  <si>
    <t>TC-REC-001</t>
  </si>
  <si>
    <t>恢复/可靠性</t>
  </si>
  <si>
    <t>隔离恢复环境；备份、文件、OpenSpec基线</t>
  </si>
  <si>
    <t>部分自动化：恢复校验+指标；人工批准恢复/回滚</t>
  </si>
  <si>
    <t>运维/DBA+测试负责人</t>
  </si>
  <si>
    <t>数据库、附件、OpenSpec 工作区和配置均有备份。</t>
  </si>
  <si>
    <t>验证恢复完整性、RTO/RPO和人工回滚决策。</t>
  </si>
  <si>
    <t>1) 记录故障时间；2) 恢复数据库/附件/工作区；3) 执行校验 SQL 和业务抽查；4) 记录恢复时间和数据点；5) 评审是否回滚。</t>
  </si>
  <si>
    <t>RTO≤4h、RPO≤24h；恢复数据校验100%；关联关系、权限、制品版本一致；失败阻断发布。</t>
  </si>
  <si>
    <t>恢复清单；校验SQL；回滚评审</t>
  </si>
  <si>
    <t>Spec-Kit v2.5.0 测试覆盖矩阵与自动化边界</t>
  </si>
  <si>
    <t>测试层面</t>
  </si>
  <si>
    <t>覆盖对象</t>
  </si>
  <si>
    <t>核心断言/指标</t>
  </si>
  <si>
    <t>可自动化程度</t>
  </si>
  <si>
    <t>必须人工判断</t>
  </si>
  <si>
    <t>主要执行角色</t>
  </si>
  <si>
    <t>对应用例范围</t>
  </si>
  <si>
    <t>需求、审批、SDD、任务、权限、幂等</t>
  </si>
  <si>
    <t>状态码、Schema、状态跃迁、数据一致性</t>
  </si>
  <si>
    <t>业务价值、异常处置</t>
  </si>
  <si>
    <t>TC-AI-REQ/TC-REQ-APP/TC-SDD/TC-TASK</t>
  </si>
  <si>
    <t>需求助手、Judge、任务分解</t>
  </si>
  <si>
    <t>Schema、字段覆盖、J0/J1、遗漏率、一致率、成本/时延</t>
  </si>
  <si>
    <t>事实性、可用性、关键样本</t>
  </si>
  <si>
    <t>AI质量+业务负责人</t>
  </si>
  <si>
    <t>TC-AI-REQ/TC-SDD/TC-TASK</t>
  </si>
  <si>
    <t>API、列表、AI长任务、SSE</t>
  </si>
  <si>
    <t>P95、排队、吞吐、5xx、资源</t>
  </si>
  <si>
    <t>负载模型和业务可接受性</t>
  </si>
  <si>
    <t>TC-PERF</t>
  </si>
  <si>
    <t>登录、空间、需求、SDD、异常提示</t>
  </si>
  <si>
    <t>可见、可操作、无重叠、主链路完成</t>
  </si>
  <si>
    <t>视觉层次、文案理解、交互顺畅</t>
  </si>
  <si>
    <t>UI自动化+UX</t>
  </si>
  <si>
    <t>TC-UI</t>
  </si>
  <si>
    <t>Chrome/Firefox/Safari、分辨率</t>
  </si>
  <si>
    <t>核心操作一致、无关键控制台错误</t>
  </si>
  <si>
    <t>高+抽样</t>
  </si>
  <si>
    <t>关键浏览器视觉确认</t>
  </si>
  <si>
    <t>兼容性测试</t>
  </si>
  <si>
    <t>TC-COMP</t>
  </si>
  <si>
    <t>任务完成、耗时、错误恢复、满意度</t>
  </si>
  <si>
    <t>完成率、卡点、认知负担、可发现性</t>
  </si>
  <si>
    <t>最终体验和满意度</t>
  </si>
  <si>
    <t>越权、注入、脱敏、租户、服务账号</t>
  </si>
  <si>
    <t>401/403、无泄露、高危0</t>
  </si>
  <si>
    <t>高+人工复核</t>
  </si>
  <si>
    <t>漏洞定级与风险接受</t>
  </si>
  <si>
    <t>TC-AI-REQ-003/TC-SEC/TC-HAR</t>
  </si>
  <si>
    <t>SSE重连、重试、数据库/文件/工作区</t>
  </si>
  <si>
    <t>终态唯一、幂等、RTO/RPO</t>
  </si>
  <si>
    <t>业务连续性、回滚决策</t>
  </si>
  <si>
    <t>TC-SSE/TC-REC/TC-HAR</t>
  </si>
  <si>
    <t>下拉选项与执行约定</t>
  </si>
  <si>
    <t>自动化层级</t>
  </si>
  <si>
    <t>结果判断</t>
  </si>
  <si>
    <t>可自动化：API/Schema/状态</t>
  </si>
  <si>
    <t>执行中</t>
  </si>
  <si>
    <t>可自动化：UI/Playwright</t>
  </si>
  <si>
    <t>P2</t>
  </si>
  <si>
    <t>可自动化：性能/监控</t>
  </si>
  <si>
    <t>功能测试</t>
  </si>
  <si>
    <t>P3</t>
  </si>
  <si>
    <t>可自动化：可靠性/事件</t>
  </si>
  <si>
    <t>不适用</t>
  </si>
  <si>
    <t>AI质量负责人</t>
  </si>
  <si>
    <t>部分自动化：人工复核</t>
  </si>
  <si>
    <t>不可全自动：人工判断</t>
  </si>
  <si>
    <t>运维/DBA</t>
  </si>
  <si>
    <t>安全/恢复</t>
  </si>
  <si>
    <t>业务/产品负责人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</si>
</sst>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17365D"/>
      <name val="Carlito"/>
      <charset val="134"/>
    </font>
    <font>
      <i/>
      <sz val="11"/>
      <color rgb="FF40404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DF2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14" fillId="9" borderId="14" applyNumberFormat="0" applyAlignment="0" applyProtection="0">
      <alignment vertical="center"/>
    </xf>
    <xf numFmtId="0" fontId="15" fillId="9" borderId="13" applyNumberFormat="0" applyAlignment="0" applyProtection="0">
      <alignment vertical="center"/>
    </xf>
    <xf numFmtId="0" fontId="16" fillId="10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vertical="top" wrapText="1"/>
    </xf>
    <xf numFmtId="0" fontId="0" fillId="4" borderId="1" xfId="49" applyNumberFormat="1" applyFont="1" applyFill="1" applyBorder="1" applyAlignment="1">
      <alignment vertical="top" wrapText="1"/>
    </xf>
    <xf numFmtId="0" fontId="3" fillId="5" borderId="0" xfId="49" applyNumberFormat="1" applyFont="1" applyFill="1" applyBorder="1" applyAlignment="1">
      <alignment wrapText="1"/>
    </xf>
    <xf numFmtId="0" fontId="0" fillId="6" borderId="2" xfId="49" applyNumberFormat="1" applyFont="1" applyFill="1" applyBorder="1" applyAlignment="1">
      <alignment vertical="center" wrapText="1"/>
    </xf>
    <xf numFmtId="0" fontId="0" fillId="6" borderId="3" xfId="49" applyNumberFormat="1" applyFont="1" applyFill="1" applyBorder="1" applyAlignment="1">
      <alignment vertical="center" wrapText="1"/>
    </xf>
    <xf numFmtId="0" fontId="0" fillId="6" borderId="4" xfId="49" applyNumberFormat="1" applyFont="1" applyFill="1" applyBorder="1" applyAlignment="1">
      <alignment vertical="center" wrapText="1"/>
    </xf>
    <xf numFmtId="0" fontId="0" fillId="6" borderId="5" xfId="49" applyNumberFormat="1" applyFont="1" applyFill="1" applyBorder="1" applyAlignment="1">
      <alignment vertical="center" wrapText="1"/>
    </xf>
    <xf numFmtId="0" fontId="0" fillId="6" borderId="0" xfId="49" applyNumberFormat="1" applyFont="1" applyFill="1" applyBorder="1" applyAlignment="1">
      <alignment vertical="center" wrapText="1"/>
    </xf>
    <xf numFmtId="0" fontId="0" fillId="6" borderId="6" xfId="49" applyNumberFormat="1" applyFont="1" applyFill="1" applyBorder="1" applyAlignment="1">
      <alignment vertical="center" wrapText="1"/>
    </xf>
    <xf numFmtId="0" fontId="0" fillId="6" borderId="7" xfId="49" applyNumberFormat="1" applyFont="1" applyFill="1" applyBorder="1" applyAlignment="1">
      <alignment vertical="center" wrapText="1"/>
    </xf>
    <xf numFmtId="0" fontId="0" fillId="6" borderId="8" xfId="49" applyNumberFormat="1" applyFont="1" applyFill="1" applyBorder="1" applyAlignment="1">
      <alignment vertical="center" wrapText="1"/>
    </xf>
    <xf numFmtId="0" fontId="0" fillId="6" borderId="9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6500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reTestCases" displayName="CoreTestCases" ref="A2:Q34" totalsRowShown="0">
  <tableColumns count="17">
    <tableColumn id="1" name="用例ID"/>
    <tableColumn id="2" name="风险等级"/>
    <tableColumn id="3" name="功能域"/>
    <tableColumn id="4" name="测试域"/>
    <tableColumn id="5" name="前置角色/数据"/>
    <tableColumn id="6" name="自动化抽象层级"/>
    <tableColumn id="7" name="自动化分类"/>
    <tableColumn id="8" name="执行角色"/>
    <tableColumn id="9" name="测试前置条件"/>
    <tableColumn id="10" name="测试目的"/>
    <tableColumn id="11" name="测试步骤"/>
    <tableColumn id="12" name="预期结果"/>
    <tableColumn id="13" name="实际测试效果（执行后填写）"/>
    <tableColumn id="14" name="本条用例测试结果判断（通过/失败/阻塞/不适用）"/>
    <tableColumn id="15" name="执行状态"/>
    <tableColumn id="16" name="缺陷ID"/>
    <tableColumn id="17" name="证据/运行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showGridLines="0" workbookViewId="0">
      <selection activeCell="A1" sqref="A1:H1"/>
    </sheetView>
  </sheetViews>
  <sheetFormatPr defaultColWidth="9" defaultRowHeight="16.8" outlineLevelCol="7"/>
  <cols>
    <col min="1" max="1" width="22" customWidth="1"/>
    <col min="2" max="2" width="14" customWidth="1"/>
    <col min="4" max="4" width="18" customWidth="1"/>
    <col min="5" max="7" width="14" customWidth="1"/>
    <col min="8" max="8" width="25" customWidth="1"/>
  </cols>
  <sheetData>
    <row r="1" ht="30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8" customHeight="1" spans="1:8">
      <c r="A2" s="5" t="s">
        <v>1</v>
      </c>
      <c r="B2" s="5"/>
      <c r="C2" s="5"/>
      <c r="D2" s="5"/>
      <c r="E2" s="5"/>
      <c r="F2" s="5"/>
      <c r="G2" s="5"/>
      <c r="H2" s="5"/>
    </row>
    <row r="4" ht="17" spans="1:8">
      <c r="A4" s="2" t="s">
        <v>2</v>
      </c>
      <c r="B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ht="17" spans="1:8">
      <c r="A5" s="3" t="s">
        <v>9</v>
      </c>
      <c r="B5" s="3">
        <f>COUNTA(测试用例!A3:A34)</f>
        <v>32</v>
      </c>
      <c r="D5" s="3" t="s">
        <v>10</v>
      </c>
      <c r="E5" s="3">
        <f>COUNTIF(测试用例!D3:D34,"功能/API")+COUNTIF(测试用例!D3:D34,"状态机/功能")+COUNTIF(测试用例!D3:D34,"幂等/异步")+COUNTIF(测试用例!D3:D34,"功能/安全")+COUNTIF(测试用例!D3:D34,"功能/契约")+COUNTIF(测试用例!D3:D34,"一致性/功能")+COUNTIF(测试用例!D3:D34,"一致性")+COUNTIF(测试用例!D3:D34,"权限")+COUNTIF(测试用例!D3:D34,"权限/门禁")+COUNTIF(测试用例!D3:D34,"门禁/权限")</f>
        <v>12</v>
      </c>
      <c r="F5" s="3" t="s">
        <v>11</v>
      </c>
      <c r="G5" s="3" t="s">
        <v>12</v>
      </c>
      <c r="H5" s="3" t="s">
        <v>13</v>
      </c>
    </row>
    <row r="6" ht="17" spans="1:8">
      <c r="A6" s="3" t="s">
        <v>14</v>
      </c>
      <c r="B6" s="3">
        <f>COUNTIF(测试用例!B3:B34,"P0")</f>
        <v>20</v>
      </c>
      <c r="D6" s="3" t="s">
        <v>15</v>
      </c>
      <c r="E6" s="3">
        <f>COUNTIF(测试用例!D3:D34,"安全/AI质量")+COUNTIF(测试用例!D3:D34,"可靠性/AI质量")+COUNTIF(测试用例!D3:D34,"AI质量/可靠性")+COUNTIF(测试用例!D3:D34,"AI质量/功能")</f>
        <v>4</v>
      </c>
      <c r="F6" s="3" t="s">
        <v>16</v>
      </c>
      <c r="G6" s="3" t="s">
        <v>17</v>
      </c>
      <c r="H6" s="3" t="s">
        <v>18</v>
      </c>
    </row>
    <row r="7" ht="17" spans="1:8">
      <c r="A7" s="3" t="s">
        <v>19</v>
      </c>
      <c r="B7" s="3">
        <f>COUNTIF(测试用例!G3:G34,"可自动化")+COUNTIF(测试用例!G3:G34,"部分自动化")</f>
        <v>29</v>
      </c>
      <c r="D7" s="3" t="s">
        <v>20</v>
      </c>
      <c r="E7" s="3">
        <f>COUNTIF(测试用例!D3:D34,"性能")+COUNTIF(测试用例!D3:D34,"长稳")</f>
        <v>2</v>
      </c>
      <c r="F7" s="3" t="s">
        <v>11</v>
      </c>
      <c r="G7" s="3" t="s">
        <v>12</v>
      </c>
      <c r="H7" s="3" t="s">
        <v>21</v>
      </c>
    </row>
    <row r="8" ht="17" spans="1:8">
      <c r="A8" s="3" t="s">
        <v>22</v>
      </c>
      <c r="B8" s="3">
        <f>COUNTIF(测试用例!G3:G34,"不可全自动")+COUNTIF(测试用例!G3:G34,"部分自动化")</f>
        <v>7</v>
      </c>
      <c r="D8" s="3" t="s">
        <v>23</v>
      </c>
      <c r="E8" s="3">
        <f>COUNTIF(测试用例!D3:D34,"UI")+COUNTIF(测试用例!D3:D34,"UI/可用性")</f>
        <v>1</v>
      </c>
      <c r="F8" s="3" t="s">
        <v>24</v>
      </c>
      <c r="G8" s="3" t="s">
        <v>17</v>
      </c>
      <c r="H8" s="3" t="s">
        <v>25</v>
      </c>
    </row>
    <row r="9" ht="17" spans="1:8">
      <c r="A9" s="3" t="s">
        <v>26</v>
      </c>
      <c r="B9" s="3">
        <f>COUNTIF(测试用例!O3:O34,"执行中")+COUNTIF(测试用例!O3:O34,"通过")+COUNTIF(测试用例!O3:O34,"失败")+COUNTIF(测试用例!O3:O34,"阻塞")+COUNTIF(测试用例!O3:O34,"不适用")</f>
        <v>0</v>
      </c>
      <c r="D9" s="3" t="s">
        <v>27</v>
      </c>
      <c r="E9" s="3">
        <f>COUNTIF(测试用例!D3:D34,"兼容")</f>
        <v>1</v>
      </c>
      <c r="F9" s="3" t="s">
        <v>11</v>
      </c>
      <c r="G9" s="3" t="s">
        <v>28</v>
      </c>
      <c r="H9" s="3" t="s">
        <v>29</v>
      </c>
    </row>
    <row r="10" ht="17" spans="1:8">
      <c r="A10" s="3" t="s">
        <v>30</v>
      </c>
      <c r="B10" s="3">
        <f>COUNTIF(测试用例!O3:O34,"通过")</f>
        <v>0</v>
      </c>
      <c r="D10" s="3" t="s">
        <v>31</v>
      </c>
      <c r="E10" s="3">
        <f>COUNTIF(测试用例!D3:D34,"用户体验")+COUNTIF(测试用例!D3:D34,"UX/可访问性")</f>
        <v>1</v>
      </c>
      <c r="F10" s="3" t="s">
        <v>32</v>
      </c>
      <c r="G10" s="3" t="s">
        <v>17</v>
      </c>
      <c r="H10" s="3" t="s">
        <v>33</v>
      </c>
    </row>
    <row r="11" ht="17" spans="1:8">
      <c r="A11" s="3" t="s">
        <v>34</v>
      </c>
      <c r="B11" s="3">
        <f>COUNTIF(测试用例!O3:O34,"失败")</f>
        <v>0</v>
      </c>
      <c r="D11" s="3" t="s">
        <v>35</v>
      </c>
      <c r="E11" s="3">
        <f>COUNTIF(测试用例!D3:D34,"安全")+COUNTIF(测试用例!D3:D34,"安全/AI质量")+COUNTIF(测试用例!D3:D34,"安全/工作区")+COUNTIF(测试用例!D3:D34,"安全/租户隔离")+COUNTIF(测试用例!D3:D34,"功能/安全")+COUNTIF(测试用例!D3:D34,"权限")+COUNTIF(测试用例!D3:D34,"权限/门禁")+COUNTIF(测试用例!D3:D34,"门禁/权限")+COUNTIF(测试用例!D3:D34,"可靠性/租户隔离")+COUNTIF(测试用例!D3:D34,"治理/发布")</f>
        <v>10</v>
      </c>
      <c r="F11" s="3" t="s">
        <v>11</v>
      </c>
      <c r="G11" s="3" t="s">
        <v>17</v>
      </c>
      <c r="H11" s="3" t="s">
        <v>36</v>
      </c>
    </row>
    <row r="12" ht="17" spans="1:8">
      <c r="A12" s="3" t="s">
        <v>37</v>
      </c>
      <c r="B12" s="3">
        <f>COUNTIF(测试用例!O3:O34,"阻塞")</f>
        <v>0</v>
      </c>
      <c r="D12" s="3" t="s">
        <v>38</v>
      </c>
      <c r="E12" s="3">
        <f>COUNTIF(测试用例!D3:D34,"恢复/幂等")+COUNTIF(测试用例!D3:D34,"恢复/可靠性")+COUNTIF(测试用例!D3:D34,"可靠性")+COUNTIF(测试用例!D3:D34,"可靠性/租户隔离")+COUNTIF(测试用例!D3:D34,"异常状态")</f>
        <v>5</v>
      </c>
      <c r="F12" s="3" t="s">
        <v>24</v>
      </c>
      <c r="G12" s="3" t="s">
        <v>17</v>
      </c>
      <c r="H12" s="3" t="s">
        <v>39</v>
      </c>
    </row>
    <row r="14" spans="1:8">
      <c r="A14" s="6" t="s">
        <v>40</v>
      </c>
      <c r="B14" s="7"/>
      <c r="C14" s="7"/>
      <c r="D14" s="7"/>
      <c r="E14" s="7"/>
      <c r="F14" s="7"/>
      <c r="G14" s="7"/>
      <c r="H14" s="8"/>
    </row>
    <row r="15" spans="1:8">
      <c r="A15" s="9"/>
      <c r="B15" s="10"/>
      <c r="C15" s="10"/>
      <c r="D15" s="10"/>
      <c r="E15" s="10"/>
      <c r="F15" s="10"/>
      <c r="G15" s="10"/>
      <c r="H15" s="11"/>
    </row>
    <row r="16" spans="1:8">
      <c r="A16" s="12"/>
      <c r="B16" s="13"/>
      <c r="C16" s="13"/>
      <c r="D16" s="13"/>
      <c r="E16" s="13"/>
      <c r="F16" s="13"/>
      <c r="G16" s="13"/>
      <c r="H16" s="14"/>
    </row>
  </sheetData>
  <mergeCells count="3">
    <mergeCell ref="A1:H1"/>
    <mergeCell ref="A2:H2"/>
    <mergeCell ref="A14:H1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showGridLines="0" tabSelected="1" topLeftCell="G6" workbookViewId="0">
      <selection activeCell="K6" sqref="K6"/>
    </sheetView>
  </sheetViews>
  <sheetFormatPr defaultColWidth="9" defaultRowHeight="16.8"/>
  <cols>
    <col min="1" max="1" width="18" customWidth="1"/>
    <col min="2" max="2" width="10" customWidth="1"/>
    <col min="3" max="3" width="16" customWidth="1"/>
    <col min="4" max="4" width="15" customWidth="1"/>
    <col min="5" max="5" width="20" customWidth="1"/>
    <col min="6" max="6" width="24" customWidth="1"/>
    <col min="7" max="7" width="14" customWidth="1"/>
    <col min="8" max="8" width="20" customWidth="1"/>
    <col min="9" max="9" width="34" customWidth="1"/>
    <col min="10" max="10" width="30" customWidth="1"/>
    <col min="11" max="11" width="48" customWidth="1"/>
    <col min="12" max="12" width="42" customWidth="1"/>
    <col min="13" max="13" width="34" customWidth="1"/>
    <col min="14" max="14" width="32" customWidth="1"/>
    <col min="15" max="16" width="14" customWidth="1"/>
    <col min="17" max="17" width="28" customWidth="1"/>
  </cols>
  <sheetData>
    <row r="1" ht="30" customHeight="1" spans="1:17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2" customHeight="1" spans="1:17">
      <c r="A2" s="2" t="s">
        <v>42</v>
      </c>
      <c r="B2" s="2" t="s">
        <v>43</v>
      </c>
      <c r="C2" s="2" t="s">
        <v>44</v>
      </c>
      <c r="D2" s="2" t="s">
        <v>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</row>
    <row r="3" ht="133" customHeight="1" spans="1:17">
      <c r="A3" s="3" t="s">
        <v>58</v>
      </c>
      <c r="B3" s="3" t="s">
        <v>59</v>
      </c>
      <c r="C3" s="3" t="s">
        <v>60</v>
      </c>
      <c r="D3" s="3" t="s">
        <v>10</v>
      </c>
      <c r="E3" s="3" t="s">
        <v>61</v>
      </c>
      <c r="F3" s="3" t="s">
        <v>62</v>
      </c>
      <c r="G3" s="3" t="s">
        <v>6</v>
      </c>
      <c r="H3" s="3" t="s">
        <v>63</v>
      </c>
      <c r="I3" s="3" t="s">
        <v>64</v>
      </c>
      <c r="J3" s="3" t="s">
        <v>65</v>
      </c>
      <c r="K3" s="3" t="s">
        <v>66</v>
      </c>
      <c r="L3" s="3" t="s">
        <v>67</v>
      </c>
      <c r="M3" s="4" t="s">
        <v>68</v>
      </c>
      <c r="N3" s="4" t="s">
        <v>68</v>
      </c>
      <c r="O3" s="3" t="s">
        <v>69</v>
      </c>
      <c r="P3" s="3" t="s">
        <v>70</v>
      </c>
      <c r="Q3" s="3" t="s">
        <v>68</v>
      </c>
    </row>
    <row r="4" ht="180" customHeight="1" spans="1:17">
      <c r="A4" s="3" t="s">
        <v>71</v>
      </c>
      <c r="B4" s="3" t="s">
        <v>59</v>
      </c>
      <c r="C4" s="3" t="s">
        <v>60</v>
      </c>
      <c r="D4" s="3" t="s">
        <v>72</v>
      </c>
      <c r="E4" s="3" t="s">
        <v>73</v>
      </c>
      <c r="F4" s="3" t="s">
        <v>74</v>
      </c>
      <c r="G4" s="3" t="s">
        <v>6</v>
      </c>
      <c r="H4" s="3" t="s">
        <v>75</v>
      </c>
      <c r="I4" s="3" t="s">
        <v>76</v>
      </c>
      <c r="J4" s="3" t="s">
        <v>77</v>
      </c>
      <c r="K4" s="3" t="s">
        <v>78</v>
      </c>
      <c r="L4" s="3" t="s">
        <v>79</v>
      </c>
      <c r="M4" s="4" t="s">
        <v>68</v>
      </c>
      <c r="N4" s="4" t="s">
        <v>68</v>
      </c>
      <c r="O4" s="3" t="s">
        <v>69</v>
      </c>
      <c r="P4" s="3" t="s">
        <v>80</v>
      </c>
      <c r="Q4" s="3" t="s">
        <v>68</v>
      </c>
    </row>
    <row r="5" ht="149" customHeight="1" spans="1:17">
      <c r="A5" s="3" t="s">
        <v>81</v>
      </c>
      <c r="B5" s="3" t="s">
        <v>59</v>
      </c>
      <c r="C5" s="3" t="s">
        <v>60</v>
      </c>
      <c r="D5" s="3" t="s">
        <v>82</v>
      </c>
      <c r="E5" s="3" t="s">
        <v>83</v>
      </c>
      <c r="F5" s="3" t="s">
        <v>84</v>
      </c>
      <c r="G5" s="3" t="s">
        <v>85</v>
      </c>
      <c r="H5" s="3" t="s">
        <v>86</v>
      </c>
      <c r="I5" s="3" t="s">
        <v>87</v>
      </c>
      <c r="J5" s="3" t="s">
        <v>88</v>
      </c>
      <c r="K5" s="3" t="s">
        <v>89</v>
      </c>
      <c r="L5" s="3" t="s">
        <v>90</v>
      </c>
      <c r="M5" s="4" t="s">
        <v>68</v>
      </c>
      <c r="N5" s="4" t="s">
        <v>68</v>
      </c>
      <c r="O5" s="3" t="s">
        <v>69</v>
      </c>
      <c r="P5" s="3" t="s">
        <v>91</v>
      </c>
      <c r="Q5" s="3" t="s">
        <v>68</v>
      </c>
    </row>
    <row r="6" ht="117" customHeight="1" spans="1:17">
      <c r="A6" s="3" t="s">
        <v>92</v>
      </c>
      <c r="B6" s="3" t="s">
        <v>93</v>
      </c>
      <c r="C6" s="3" t="s">
        <v>60</v>
      </c>
      <c r="D6" s="3" t="s">
        <v>94</v>
      </c>
      <c r="E6" s="3" t="s">
        <v>95</v>
      </c>
      <c r="F6" s="3" t="s">
        <v>96</v>
      </c>
      <c r="G6" s="3" t="s">
        <v>6</v>
      </c>
      <c r="H6" s="3" t="s">
        <v>97</v>
      </c>
      <c r="I6" s="3" t="s">
        <v>98</v>
      </c>
      <c r="J6" s="3" t="s">
        <v>99</v>
      </c>
      <c r="K6" s="3" t="s">
        <v>100</v>
      </c>
      <c r="L6" s="3" t="s">
        <v>101</v>
      </c>
      <c r="M6" s="4" t="s">
        <v>68</v>
      </c>
      <c r="N6" s="4" t="s">
        <v>68</v>
      </c>
      <c r="O6" s="3" t="s">
        <v>69</v>
      </c>
      <c r="P6" s="3" t="s">
        <v>102</v>
      </c>
      <c r="Q6" s="3" t="s">
        <v>68</v>
      </c>
    </row>
    <row r="7" ht="120" customHeight="1" spans="1:17">
      <c r="A7" s="3" t="s">
        <v>103</v>
      </c>
      <c r="B7" s="3" t="s">
        <v>93</v>
      </c>
      <c r="C7" s="3" t="s">
        <v>60</v>
      </c>
      <c r="D7" s="3" t="s">
        <v>104</v>
      </c>
      <c r="E7" s="3" t="s">
        <v>105</v>
      </c>
      <c r="F7" s="3" t="s">
        <v>106</v>
      </c>
      <c r="G7" s="3" t="s">
        <v>107</v>
      </c>
      <c r="H7" s="3" t="s">
        <v>108</v>
      </c>
      <c r="I7" s="3" t="s">
        <v>109</v>
      </c>
      <c r="J7" s="3" t="s">
        <v>110</v>
      </c>
      <c r="K7" s="3" t="s">
        <v>111</v>
      </c>
      <c r="L7" s="3" t="s">
        <v>112</v>
      </c>
      <c r="M7" s="4" t="s">
        <v>68</v>
      </c>
      <c r="N7" s="4" t="s">
        <v>68</v>
      </c>
      <c r="O7" s="3" t="s">
        <v>69</v>
      </c>
      <c r="P7" s="3" t="s">
        <v>113</v>
      </c>
      <c r="Q7" s="3" t="s">
        <v>68</v>
      </c>
    </row>
    <row r="8" ht="78" customHeight="1" spans="1:17">
      <c r="A8" s="3" t="s">
        <v>114</v>
      </c>
      <c r="B8" s="3" t="s">
        <v>59</v>
      </c>
      <c r="C8" s="3" t="s">
        <v>115</v>
      </c>
      <c r="D8" s="3" t="s">
        <v>116</v>
      </c>
      <c r="E8" s="3" t="s">
        <v>117</v>
      </c>
      <c r="F8" s="3" t="s">
        <v>118</v>
      </c>
      <c r="G8" s="3" t="s">
        <v>6</v>
      </c>
      <c r="H8" s="3" t="s">
        <v>119</v>
      </c>
      <c r="I8" s="3" t="s">
        <v>120</v>
      </c>
      <c r="J8" s="3" t="s">
        <v>121</v>
      </c>
      <c r="K8" s="3" t="s">
        <v>122</v>
      </c>
      <c r="L8" s="3" t="s">
        <v>123</v>
      </c>
      <c r="M8" s="4" t="s">
        <v>68</v>
      </c>
      <c r="N8" s="4" t="s">
        <v>68</v>
      </c>
      <c r="O8" s="3" t="s">
        <v>69</v>
      </c>
      <c r="P8" s="3" t="s">
        <v>124</v>
      </c>
      <c r="Q8" s="3" t="s">
        <v>68</v>
      </c>
    </row>
    <row r="9" ht="78" customHeight="1" spans="1:17">
      <c r="A9" s="3" t="s">
        <v>125</v>
      </c>
      <c r="B9" s="3" t="s">
        <v>59</v>
      </c>
      <c r="C9" s="3" t="s">
        <v>115</v>
      </c>
      <c r="D9" s="3" t="s">
        <v>72</v>
      </c>
      <c r="E9" s="3" t="s">
        <v>126</v>
      </c>
      <c r="F9" s="3" t="s">
        <v>127</v>
      </c>
      <c r="G9" s="3" t="s">
        <v>6</v>
      </c>
      <c r="H9" s="3" t="s">
        <v>75</v>
      </c>
      <c r="I9" s="3" t="s">
        <v>128</v>
      </c>
      <c r="J9" s="3" t="s">
        <v>129</v>
      </c>
      <c r="K9" s="3" t="s">
        <v>130</v>
      </c>
      <c r="L9" s="3" t="s">
        <v>131</v>
      </c>
      <c r="M9" s="4" t="s">
        <v>68</v>
      </c>
      <c r="N9" s="4" t="s">
        <v>68</v>
      </c>
      <c r="O9" s="3" t="s">
        <v>69</v>
      </c>
      <c r="P9" s="3" t="s">
        <v>132</v>
      </c>
      <c r="Q9" s="3" t="s">
        <v>68</v>
      </c>
    </row>
    <row r="10" ht="78" customHeight="1" spans="1:17">
      <c r="A10" s="3" t="s">
        <v>133</v>
      </c>
      <c r="B10" s="3" t="s">
        <v>59</v>
      </c>
      <c r="C10" s="3" t="s">
        <v>134</v>
      </c>
      <c r="D10" s="3" t="s">
        <v>135</v>
      </c>
      <c r="E10" s="3" t="s">
        <v>136</v>
      </c>
      <c r="F10" s="3" t="s">
        <v>137</v>
      </c>
      <c r="G10" s="3" t="s">
        <v>6</v>
      </c>
      <c r="H10" s="3" t="s">
        <v>63</v>
      </c>
      <c r="I10" s="3" t="s">
        <v>138</v>
      </c>
      <c r="J10" s="3" t="s">
        <v>139</v>
      </c>
      <c r="K10" s="3" t="s">
        <v>140</v>
      </c>
      <c r="L10" s="3" t="s">
        <v>141</v>
      </c>
      <c r="M10" s="4" t="s">
        <v>68</v>
      </c>
      <c r="N10" s="4" t="s">
        <v>68</v>
      </c>
      <c r="O10" s="3" t="s">
        <v>69</v>
      </c>
      <c r="P10" s="3" t="s">
        <v>142</v>
      </c>
      <c r="Q10" s="3" t="s">
        <v>68</v>
      </c>
    </row>
    <row r="11" ht="78" customHeight="1" spans="1:17">
      <c r="A11" s="3" t="s">
        <v>143</v>
      </c>
      <c r="B11" s="3" t="s">
        <v>93</v>
      </c>
      <c r="C11" s="3" t="s">
        <v>144</v>
      </c>
      <c r="D11" s="3" t="s">
        <v>145</v>
      </c>
      <c r="E11" s="3" t="s">
        <v>146</v>
      </c>
      <c r="F11" s="3" t="s">
        <v>147</v>
      </c>
      <c r="G11" s="3" t="s">
        <v>85</v>
      </c>
      <c r="H11" s="3" t="s">
        <v>148</v>
      </c>
      <c r="I11" s="3" t="s">
        <v>149</v>
      </c>
      <c r="J11" s="3" t="s">
        <v>150</v>
      </c>
      <c r="K11" s="3" t="s">
        <v>151</v>
      </c>
      <c r="L11" s="3" t="s">
        <v>152</v>
      </c>
      <c r="M11" s="4" t="s">
        <v>68</v>
      </c>
      <c r="N11" s="4" t="s">
        <v>68</v>
      </c>
      <c r="O11" s="3" t="s">
        <v>69</v>
      </c>
      <c r="P11" s="3" t="s">
        <v>153</v>
      </c>
      <c r="Q11" s="3" t="s">
        <v>68</v>
      </c>
    </row>
    <row r="12" ht="78" customHeight="1" spans="1:17">
      <c r="A12" s="3" t="s">
        <v>154</v>
      </c>
      <c r="B12" s="3" t="s">
        <v>59</v>
      </c>
      <c r="C12" s="3" t="s">
        <v>155</v>
      </c>
      <c r="D12" s="3" t="s">
        <v>156</v>
      </c>
      <c r="E12" s="3" t="s">
        <v>157</v>
      </c>
      <c r="F12" s="3" t="s">
        <v>158</v>
      </c>
      <c r="G12" s="3" t="s">
        <v>6</v>
      </c>
      <c r="H12" s="3" t="s">
        <v>159</v>
      </c>
      <c r="I12" s="3" t="s">
        <v>160</v>
      </c>
      <c r="J12" s="3" t="s">
        <v>161</v>
      </c>
      <c r="K12" s="3" t="s">
        <v>162</v>
      </c>
      <c r="L12" s="3" t="s">
        <v>163</v>
      </c>
      <c r="M12" s="4" t="s">
        <v>68</v>
      </c>
      <c r="N12" s="4" t="s">
        <v>68</v>
      </c>
      <c r="O12" s="3" t="s">
        <v>69</v>
      </c>
      <c r="P12" s="3" t="s">
        <v>164</v>
      </c>
      <c r="Q12" s="3" t="s">
        <v>68</v>
      </c>
    </row>
    <row r="13" ht="78" customHeight="1" spans="1:17">
      <c r="A13" s="3" t="s">
        <v>165</v>
      </c>
      <c r="B13" s="3" t="s">
        <v>59</v>
      </c>
      <c r="C13" s="3" t="s">
        <v>166</v>
      </c>
      <c r="D13" s="3" t="s">
        <v>116</v>
      </c>
      <c r="E13" s="3" t="s">
        <v>167</v>
      </c>
      <c r="F13" s="3" t="s">
        <v>168</v>
      </c>
      <c r="G13" s="3" t="s">
        <v>6</v>
      </c>
      <c r="H13" s="3" t="s">
        <v>169</v>
      </c>
      <c r="I13" s="3" t="s">
        <v>170</v>
      </c>
      <c r="J13" s="3" t="s">
        <v>171</v>
      </c>
      <c r="K13" s="3" t="s">
        <v>172</v>
      </c>
      <c r="L13" s="3" t="s">
        <v>173</v>
      </c>
      <c r="M13" s="4" t="s">
        <v>68</v>
      </c>
      <c r="N13" s="4" t="s">
        <v>68</v>
      </c>
      <c r="O13" s="3" t="s">
        <v>69</v>
      </c>
      <c r="P13" s="3" t="s">
        <v>174</v>
      </c>
      <c r="Q13" s="3" t="s">
        <v>68</v>
      </c>
    </row>
    <row r="14" ht="78" customHeight="1" spans="1:17">
      <c r="A14" s="3" t="s">
        <v>175</v>
      </c>
      <c r="B14" s="3" t="s">
        <v>59</v>
      </c>
      <c r="C14" s="3" t="s">
        <v>155</v>
      </c>
      <c r="D14" s="3" t="s">
        <v>176</v>
      </c>
      <c r="E14" s="3" t="s">
        <v>177</v>
      </c>
      <c r="F14" s="3" t="s">
        <v>178</v>
      </c>
      <c r="G14" s="3" t="s">
        <v>6</v>
      </c>
      <c r="H14" s="3" t="s">
        <v>179</v>
      </c>
      <c r="I14" s="3" t="s">
        <v>180</v>
      </c>
      <c r="J14" s="3" t="s">
        <v>181</v>
      </c>
      <c r="K14" s="3" t="s">
        <v>182</v>
      </c>
      <c r="L14" s="3" t="s">
        <v>183</v>
      </c>
      <c r="M14" s="4" t="s">
        <v>68</v>
      </c>
      <c r="N14" s="4" t="s">
        <v>68</v>
      </c>
      <c r="O14" s="3" t="s">
        <v>69</v>
      </c>
      <c r="P14" s="3" t="s">
        <v>184</v>
      </c>
      <c r="Q14" s="3" t="s">
        <v>68</v>
      </c>
    </row>
    <row r="15" ht="78" customHeight="1" spans="1:17">
      <c r="A15" s="3" t="s">
        <v>185</v>
      </c>
      <c r="B15" s="3" t="s">
        <v>93</v>
      </c>
      <c r="C15" s="3" t="s">
        <v>186</v>
      </c>
      <c r="D15" s="3" t="s">
        <v>187</v>
      </c>
      <c r="E15" s="3" t="s">
        <v>188</v>
      </c>
      <c r="F15" s="3" t="s">
        <v>189</v>
      </c>
      <c r="G15" s="3" t="s">
        <v>6</v>
      </c>
      <c r="H15" s="3" t="s">
        <v>190</v>
      </c>
      <c r="I15" s="3" t="s">
        <v>191</v>
      </c>
      <c r="J15" s="3" t="s">
        <v>192</v>
      </c>
      <c r="K15" s="3" t="s">
        <v>193</v>
      </c>
      <c r="L15" s="3" t="s">
        <v>194</v>
      </c>
      <c r="M15" s="4" t="s">
        <v>68</v>
      </c>
      <c r="N15" s="4" t="s">
        <v>68</v>
      </c>
      <c r="O15" s="3" t="s">
        <v>69</v>
      </c>
      <c r="P15" s="3" t="s">
        <v>195</v>
      </c>
      <c r="Q15" s="3" t="s">
        <v>68</v>
      </c>
    </row>
    <row r="16" ht="78" customHeight="1" spans="1:17">
      <c r="A16" s="3" t="s">
        <v>196</v>
      </c>
      <c r="B16" s="3" t="s">
        <v>59</v>
      </c>
      <c r="C16" s="3" t="s">
        <v>197</v>
      </c>
      <c r="D16" s="3" t="s">
        <v>198</v>
      </c>
      <c r="E16" s="3" t="s">
        <v>199</v>
      </c>
      <c r="F16" s="3" t="s">
        <v>200</v>
      </c>
      <c r="G16" s="3" t="s">
        <v>6</v>
      </c>
      <c r="H16" s="3" t="s">
        <v>201</v>
      </c>
      <c r="I16" s="3" t="s">
        <v>202</v>
      </c>
      <c r="J16" s="3" t="s">
        <v>203</v>
      </c>
      <c r="K16" s="3" t="s">
        <v>204</v>
      </c>
      <c r="L16" s="3" t="s">
        <v>205</v>
      </c>
      <c r="M16" s="4" t="s">
        <v>68</v>
      </c>
      <c r="N16" s="4" t="s">
        <v>68</v>
      </c>
      <c r="O16" s="3" t="s">
        <v>69</v>
      </c>
      <c r="P16" s="3" t="s">
        <v>206</v>
      </c>
      <c r="Q16" s="3" t="s">
        <v>68</v>
      </c>
    </row>
    <row r="17" ht="78" customHeight="1" spans="1:17">
      <c r="A17" s="3" t="s">
        <v>207</v>
      </c>
      <c r="B17" s="3" t="s">
        <v>59</v>
      </c>
      <c r="C17" s="3" t="s">
        <v>208</v>
      </c>
      <c r="D17" s="3" t="s">
        <v>209</v>
      </c>
      <c r="E17" s="3" t="s">
        <v>210</v>
      </c>
      <c r="F17" s="3" t="s">
        <v>211</v>
      </c>
      <c r="G17" s="3" t="s">
        <v>6</v>
      </c>
      <c r="H17" s="3" t="s">
        <v>212</v>
      </c>
      <c r="I17" s="3" t="s">
        <v>213</v>
      </c>
      <c r="J17" s="3" t="s">
        <v>214</v>
      </c>
      <c r="K17" s="3" t="s">
        <v>215</v>
      </c>
      <c r="L17" s="3" t="s">
        <v>216</v>
      </c>
      <c r="M17" s="4" t="s">
        <v>68</v>
      </c>
      <c r="N17" s="4" t="s">
        <v>68</v>
      </c>
      <c r="O17" s="3" t="s">
        <v>69</v>
      </c>
      <c r="P17" s="3" t="s">
        <v>217</v>
      </c>
      <c r="Q17" s="3" t="s">
        <v>68</v>
      </c>
    </row>
    <row r="18" ht="78" customHeight="1" spans="1:17">
      <c r="A18" s="3" t="s">
        <v>218</v>
      </c>
      <c r="B18" s="3" t="s">
        <v>59</v>
      </c>
      <c r="C18" s="3" t="s">
        <v>208</v>
      </c>
      <c r="D18" s="3" t="s">
        <v>104</v>
      </c>
      <c r="E18" s="3" t="s">
        <v>219</v>
      </c>
      <c r="F18" s="3" t="s">
        <v>220</v>
      </c>
      <c r="G18" s="3" t="s">
        <v>85</v>
      </c>
      <c r="H18" s="3" t="s">
        <v>221</v>
      </c>
      <c r="I18" s="3" t="s">
        <v>222</v>
      </c>
      <c r="J18" s="3" t="s">
        <v>223</v>
      </c>
      <c r="K18" s="3" t="s">
        <v>224</v>
      </c>
      <c r="L18" s="3" t="s">
        <v>225</v>
      </c>
      <c r="M18" s="4" t="s">
        <v>68</v>
      </c>
      <c r="N18" s="4" t="s">
        <v>68</v>
      </c>
      <c r="O18" s="3" t="s">
        <v>69</v>
      </c>
      <c r="P18" s="3" t="s">
        <v>226</v>
      </c>
      <c r="Q18" s="3" t="s">
        <v>68</v>
      </c>
    </row>
    <row r="19" ht="78" customHeight="1" spans="1:17">
      <c r="A19" s="3" t="s">
        <v>227</v>
      </c>
      <c r="B19" s="3" t="s">
        <v>93</v>
      </c>
      <c r="C19" s="3" t="s">
        <v>208</v>
      </c>
      <c r="D19" s="3" t="s">
        <v>228</v>
      </c>
      <c r="E19" s="3" t="s">
        <v>229</v>
      </c>
      <c r="F19" s="3" t="s">
        <v>230</v>
      </c>
      <c r="G19" s="3" t="s">
        <v>6</v>
      </c>
      <c r="H19" s="3" t="s">
        <v>159</v>
      </c>
      <c r="I19" s="3" t="s">
        <v>231</v>
      </c>
      <c r="J19" s="3" t="s">
        <v>232</v>
      </c>
      <c r="K19" s="3" t="s">
        <v>233</v>
      </c>
      <c r="L19" s="3" t="s">
        <v>234</v>
      </c>
      <c r="M19" s="4" t="s">
        <v>68</v>
      </c>
      <c r="N19" s="4" t="s">
        <v>68</v>
      </c>
      <c r="O19" s="3" t="s">
        <v>69</v>
      </c>
      <c r="P19" s="3" t="s">
        <v>235</v>
      </c>
      <c r="Q19" s="3" t="s">
        <v>68</v>
      </c>
    </row>
    <row r="20" ht="78" customHeight="1" spans="1:17">
      <c r="A20" s="3" t="s">
        <v>236</v>
      </c>
      <c r="B20" s="3" t="s">
        <v>59</v>
      </c>
      <c r="C20" s="3" t="s">
        <v>237</v>
      </c>
      <c r="D20" s="3" t="s">
        <v>238</v>
      </c>
      <c r="E20" s="3" t="s">
        <v>239</v>
      </c>
      <c r="F20" s="3" t="s">
        <v>240</v>
      </c>
      <c r="G20" s="3" t="s">
        <v>6</v>
      </c>
      <c r="H20" s="3" t="s">
        <v>241</v>
      </c>
      <c r="I20" s="3" t="s">
        <v>242</v>
      </c>
      <c r="J20" s="3" t="s">
        <v>243</v>
      </c>
      <c r="K20" s="3" t="s">
        <v>244</v>
      </c>
      <c r="L20" s="3" t="s">
        <v>245</v>
      </c>
      <c r="M20" s="4" t="s">
        <v>68</v>
      </c>
      <c r="N20" s="4" t="s">
        <v>68</v>
      </c>
      <c r="O20" s="3" t="s">
        <v>69</v>
      </c>
      <c r="P20" s="3" t="s">
        <v>246</v>
      </c>
      <c r="Q20" s="3" t="s">
        <v>68</v>
      </c>
    </row>
    <row r="21" ht="78" customHeight="1" spans="1:17">
      <c r="A21" s="3" t="s">
        <v>247</v>
      </c>
      <c r="B21" s="3" t="s">
        <v>59</v>
      </c>
      <c r="C21" s="3" t="s">
        <v>248</v>
      </c>
      <c r="D21" s="3" t="s">
        <v>249</v>
      </c>
      <c r="E21" s="3" t="s">
        <v>250</v>
      </c>
      <c r="F21" s="3" t="s">
        <v>251</v>
      </c>
      <c r="G21" s="3" t="s">
        <v>6</v>
      </c>
      <c r="H21" s="3" t="s">
        <v>252</v>
      </c>
      <c r="I21" s="3" t="s">
        <v>253</v>
      </c>
      <c r="J21" s="3" t="s">
        <v>254</v>
      </c>
      <c r="K21" s="3" t="s">
        <v>255</v>
      </c>
      <c r="L21" s="3" t="s">
        <v>256</v>
      </c>
      <c r="M21" s="4" t="s">
        <v>68</v>
      </c>
      <c r="N21" s="4" t="s">
        <v>68</v>
      </c>
      <c r="O21" s="3" t="s">
        <v>69</v>
      </c>
      <c r="P21" s="3" t="s">
        <v>257</v>
      </c>
      <c r="Q21" s="3" t="s">
        <v>68</v>
      </c>
    </row>
    <row r="22" ht="78" customHeight="1" spans="1:17">
      <c r="A22" s="3" t="s">
        <v>258</v>
      </c>
      <c r="B22" s="3" t="s">
        <v>59</v>
      </c>
      <c r="C22" s="3" t="s">
        <v>248</v>
      </c>
      <c r="D22" s="3" t="s">
        <v>259</v>
      </c>
      <c r="E22" s="3" t="s">
        <v>260</v>
      </c>
      <c r="F22" s="3" t="s">
        <v>261</v>
      </c>
      <c r="G22" s="3" t="s">
        <v>6</v>
      </c>
      <c r="H22" s="3" t="s">
        <v>262</v>
      </c>
      <c r="I22" s="3" t="s">
        <v>263</v>
      </c>
      <c r="J22" s="3" t="s">
        <v>264</v>
      </c>
      <c r="K22" s="3" t="s">
        <v>265</v>
      </c>
      <c r="L22" s="3" t="s">
        <v>266</v>
      </c>
      <c r="M22" s="4" t="s">
        <v>68</v>
      </c>
      <c r="N22" s="4" t="s">
        <v>68</v>
      </c>
      <c r="O22" s="3" t="s">
        <v>69</v>
      </c>
      <c r="P22" s="3" t="s">
        <v>267</v>
      </c>
      <c r="Q22" s="3" t="s">
        <v>68</v>
      </c>
    </row>
    <row r="23" ht="78" customHeight="1" spans="1:17">
      <c r="A23" s="3" t="s">
        <v>268</v>
      </c>
      <c r="B23" s="3" t="s">
        <v>93</v>
      </c>
      <c r="C23" s="3" t="s">
        <v>248</v>
      </c>
      <c r="D23" s="3" t="s">
        <v>269</v>
      </c>
      <c r="E23" s="3" t="s">
        <v>270</v>
      </c>
      <c r="F23" s="3" t="s">
        <v>271</v>
      </c>
      <c r="G23" s="3" t="s">
        <v>6</v>
      </c>
      <c r="H23" s="3" t="s">
        <v>159</v>
      </c>
      <c r="I23" s="3" t="s">
        <v>272</v>
      </c>
      <c r="J23" s="3" t="s">
        <v>273</v>
      </c>
      <c r="K23" s="3" t="s">
        <v>274</v>
      </c>
      <c r="L23" s="3" t="s">
        <v>275</v>
      </c>
      <c r="M23" s="4" t="s">
        <v>68</v>
      </c>
      <c r="N23" s="4" t="s">
        <v>68</v>
      </c>
      <c r="O23" s="3" t="s">
        <v>69</v>
      </c>
      <c r="P23" s="3" t="s">
        <v>276</v>
      </c>
      <c r="Q23" s="3" t="s">
        <v>68</v>
      </c>
    </row>
    <row r="24" ht="78" customHeight="1" spans="1:17">
      <c r="A24" s="3" t="s">
        <v>277</v>
      </c>
      <c r="B24" s="3" t="s">
        <v>59</v>
      </c>
      <c r="C24" s="3" t="s">
        <v>278</v>
      </c>
      <c r="D24" s="3" t="s">
        <v>279</v>
      </c>
      <c r="E24" s="3" t="s">
        <v>280</v>
      </c>
      <c r="F24" s="3" t="s">
        <v>281</v>
      </c>
      <c r="G24" s="3" t="s">
        <v>6</v>
      </c>
      <c r="H24" s="3" t="s">
        <v>282</v>
      </c>
      <c r="I24" s="3" t="s">
        <v>283</v>
      </c>
      <c r="J24" s="3" t="s">
        <v>284</v>
      </c>
      <c r="K24" s="3" t="s">
        <v>285</v>
      </c>
      <c r="L24" s="3" t="s">
        <v>286</v>
      </c>
      <c r="M24" s="4" t="s">
        <v>68</v>
      </c>
      <c r="N24" s="4" t="s">
        <v>68</v>
      </c>
      <c r="O24" s="3" t="s">
        <v>69</v>
      </c>
      <c r="P24" s="3" t="s">
        <v>287</v>
      </c>
      <c r="Q24" s="3" t="s">
        <v>68</v>
      </c>
    </row>
    <row r="25" ht="78" customHeight="1" spans="1:17">
      <c r="A25" s="3" t="s">
        <v>288</v>
      </c>
      <c r="B25" s="3" t="s">
        <v>93</v>
      </c>
      <c r="C25" s="3" t="s">
        <v>278</v>
      </c>
      <c r="D25" s="3" t="s">
        <v>289</v>
      </c>
      <c r="E25" s="3" t="s">
        <v>290</v>
      </c>
      <c r="F25" s="3" t="s">
        <v>291</v>
      </c>
      <c r="G25" s="3" t="s">
        <v>107</v>
      </c>
      <c r="H25" s="3" t="s">
        <v>292</v>
      </c>
      <c r="I25" s="3" t="s">
        <v>293</v>
      </c>
      <c r="J25" s="3" t="s">
        <v>294</v>
      </c>
      <c r="K25" s="3" t="s">
        <v>295</v>
      </c>
      <c r="L25" s="3" t="s">
        <v>296</v>
      </c>
      <c r="M25" s="4" t="s">
        <v>68</v>
      </c>
      <c r="N25" s="4" t="s">
        <v>68</v>
      </c>
      <c r="O25" s="3" t="s">
        <v>69</v>
      </c>
      <c r="P25" s="3" t="s">
        <v>297</v>
      </c>
      <c r="Q25" s="3" t="s">
        <v>68</v>
      </c>
    </row>
    <row r="26" ht="78" customHeight="1" spans="1:17">
      <c r="A26" s="3" t="s">
        <v>298</v>
      </c>
      <c r="B26" s="3" t="s">
        <v>59</v>
      </c>
      <c r="C26" s="3" t="s">
        <v>278</v>
      </c>
      <c r="D26" s="3" t="s">
        <v>299</v>
      </c>
      <c r="E26" s="3" t="s">
        <v>300</v>
      </c>
      <c r="F26" s="3" t="s">
        <v>301</v>
      </c>
      <c r="G26" s="3" t="s">
        <v>6</v>
      </c>
      <c r="H26" s="3" t="s">
        <v>302</v>
      </c>
      <c r="I26" s="3" t="s">
        <v>303</v>
      </c>
      <c r="J26" s="3" t="s">
        <v>304</v>
      </c>
      <c r="K26" s="3" t="s">
        <v>305</v>
      </c>
      <c r="L26" s="3" t="s">
        <v>306</v>
      </c>
      <c r="M26" s="4" t="s">
        <v>68</v>
      </c>
      <c r="N26" s="4" t="s">
        <v>68</v>
      </c>
      <c r="O26" s="3" t="s">
        <v>69</v>
      </c>
      <c r="P26" s="3" t="s">
        <v>307</v>
      </c>
      <c r="Q26" s="3" t="s">
        <v>68</v>
      </c>
    </row>
    <row r="27" ht="78" customHeight="1" spans="1:17">
      <c r="A27" s="3" t="s">
        <v>308</v>
      </c>
      <c r="B27" s="3" t="s">
        <v>59</v>
      </c>
      <c r="C27" s="3" t="s">
        <v>309</v>
      </c>
      <c r="D27" s="3" t="s">
        <v>310</v>
      </c>
      <c r="E27" s="3" t="s">
        <v>311</v>
      </c>
      <c r="F27" s="3" t="s">
        <v>312</v>
      </c>
      <c r="G27" s="3" t="s">
        <v>6</v>
      </c>
      <c r="H27" s="3" t="s">
        <v>313</v>
      </c>
      <c r="I27" s="3" t="s">
        <v>314</v>
      </c>
      <c r="J27" s="3" t="s">
        <v>315</v>
      </c>
      <c r="K27" s="3" t="s">
        <v>316</v>
      </c>
      <c r="L27" s="3" t="s">
        <v>317</v>
      </c>
      <c r="M27" s="4" t="s">
        <v>68</v>
      </c>
      <c r="N27" s="4" t="s">
        <v>68</v>
      </c>
      <c r="O27" s="3" t="s">
        <v>69</v>
      </c>
      <c r="P27" s="3" t="s">
        <v>318</v>
      </c>
      <c r="Q27" s="3" t="s">
        <v>68</v>
      </c>
    </row>
    <row r="28" ht="78" customHeight="1" spans="1:17">
      <c r="A28" s="3" t="s">
        <v>319</v>
      </c>
      <c r="B28" s="3" t="s">
        <v>93</v>
      </c>
      <c r="C28" s="3" t="s">
        <v>20</v>
      </c>
      <c r="D28" s="3" t="s">
        <v>20</v>
      </c>
      <c r="E28" s="3" t="s">
        <v>320</v>
      </c>
      <c r="F28" s="3" t="s">
        <v>321</v>
      </c>
      <c r="G28" s="3" t="s">
        <v>6</v>
      </c>
      <c r="H28" s="3" t="s">
        <v>322</v>
      </c>
      <c r="I28" s="3" t="s">
        <v>323</v>
      </c>
      <c r="J28" s="3" t="s">
        <v>324</v>
      </c>
      <c r="K28" s="3" t="s">
        <v>325</v>
      </c>
      <c r="L28" s="3" t="s">
        <v>326</v>
      </c>
      <c r="M28" s="4" t="s">
        <v>68</v>
      </c>
      <c r="N28" s="4" t="s">
        <v>68</v>
      </c>
      <c r="O28" s="3" t="s">
        <v>69</v>
      </c>
      <c r="P28" s="3" t="s">
        <v>327</v>
      </c>
      <c r="Q28" s="3" t="s">
        <v>68</v>
      </c>
    </row>
    <row r="29" ht="78" customHeight="1" spans="1:17">
      <c r="A29" s="3" t="s">
        <v>328</v>
      </c>
      <c r="B29" s="3" t="s">
        <v>93</v>
      </c>
      <c r="C29" s="3" t="s">
        <v>329</v>
      </c>
      <c r="D29" s="3" t="s">
        <v>330</v>
      </c>
      <c r="E29" s="3" t="s">
        <v>331</v>
      </c>
      <c r="F29" s="3" t="s">
        <v>332</v>
      </c>
      <c r="G29" s="3" t="s">
        <v>6</v>
      </c>
      <c r="H29" s="3" t="s">
        <v>322</v>
      </c>
      <c r="I29" s="3" t="s">
        <v>333</v>
      </c>
      <c r="J29" s="3" t="s">
        <v>334</v>
      </c>
      <c r="K29" s="3" t="s">
        <v>335</v>
      </c>
      <c r="L29" s="3" t="s">
        <v>336</v>
      </c>
      <c r="M29" s="4" t="s">
        <v>68</v>
      </c>
      <c r="N29" s="4" t="s">
        <v>68</v>
      </c>
      <c r="O29" s="3" t="s">
        <v>69</v>
      </c>
      <c r="P29" s="3" t="s">
        <v>337</v>
      </c>
      <c r="Q29" s="3" t="s">
        <v>68</v>
      </c>
    </row>
    <row r="30" ht="78" customHeight="1" spans="1:17">
      <c r="A30" s="3" t="s">
        <v>338</v>
      </c>
      <c r="B30" s="3" t="s">
        <v>93</v>
      </c>
      <c r="C30" s="3" t="s">
        <v>23</v>
      </c>
      <c r="D30" s="3" t="s">
        <v>339</v>
      </c>
      <c r="E30" s="3" t="s">
        <v>340</v>
      </c>
      <c r="F30" s="3" t="s">
        <v>341</v>
      </c>
      <c r="G30" s="3" t="s">
        <v>6</v>
      </c>
      <c r="H30" s="3" t="s">
        <v>342</v>
      </c>
      <c r="I30" s="3" t="s">
        <v>343</v>
      </c>
      <c r="J30" s="3" t="s">
        <v>344</v>
      </c>
      <c r="K30" s="3" t="s">
        <v>345</v>
      </c>
      <c r="L30" s="3" t="s">
        <v>346</v>
      </c>
      <c r="M30" s="4" t="s">
        <v>68</v>
      </c>
      <c r="N30" s="4" t="s">
        <v>68</v>
      </c>
      <c r="O30" s="3" t="s">
        <v>69</v>
      </c>
      <c r="P30" s="3" t="s">
        <v>347</v>
      </c>
      <c r="Q30" s="3" t="s">
        <v>68</v>
      </c>
    </row>
    <row r="31" ht="78" customHeight="1" spans="1:17">
      <c r="A31" s="3" t="s">
        <v>348</v>
      </c>
      <c r="B31" s="3" t="s">
        <v>93</v>
      </c>
      <c r="C31" s="3" t="s">
        <v>31</v>
      </c>
      <c r="D31" s="3" t="s">
        <v>349</v>
      </c>
      <c r="E31" s="3" t="s">
        <v>350</v>
      </c>
      <c r="F31" s="3" t="s">
        <v>351</v>
      </c>
      <c r="G31" s="3" t="s">
        <v>107</v>
      </c>
      <c r="H31" s="3" t="s">
        <v>352</v>
      </c>
      <c r="I31" s="3" t="s">
        <v>353</v>
      </c>
      <c r="J31" s="3" t="s">
        <v>354</v>
      </c>
      <c r="K31" s="3" t="s">
        <v>355</v>
      </c>
      <c r="L31" s="3" t="s">
        <v>356</v>
      </c>
      <c r="M31" s="4" t="s">
        <v>68</v>
      </c>
      <c r="N31" s="4" t="s">
        <v>68</v>
      </c>
      <c r="O31" s="3" t="s">
        <v>69</v>
      </c>
      <c r="P31" s="3" t="s">
        <v>357</v>
      </c>
      <c r="Q31" s="3" t="s">
        <v>68</v>
      </c>
    </row>
    <row r="32" ht="78" customHeight="1" spans="1:17">
      <c r="A32" s="3" t="s">
        <v>358</v>
      </c>
      <c r="B32" s="3" t="s">
        <v>93</v>
      </c>
      <c r="C32" s="3" t="s">
        <v>359</v>
      </c>
      <c r="D32" s="3" t="s">
        <v>27</v>
      </c>
      <c r="E32" s="3" t="s">
        <v>360</v>
      </c>
      <c r="F32" s="3" t="s">
        <v>361</v>
      </c>
      <c r="G32" s="3" t="s">
        <v>6</v>
      </c>
      <c r="H32" s="3" t="s">
        <v>362</v>
      </c>
      <c r="I32" s="3" t="s">
        <v>363</v>
      </c>
      <c r="J32" s="3" t="s">
        <v>364</v>
      </c>
      <c r="K32" s="3" t="s">
        <v>365</v>
      </c>
      <c r="L32" s="3" t="s">
        <v>366</v>
      </c>
      <c r="M32" s="4" t="s">
        <v>68</v>
      </c>
      <c r="N32" s="4" t="s">
        <v>68</v>
      </c>
      <c r="O32" s="3" t="s">
        <v>69</v>
      </c>
      <c r="P32" s="3" t="s">
        <v>367</v>
      </c>
      <c r="Q32" s="3" t="s">
        <v>68</v>
      </c>
    </row>
    <row r="33" ht="78" customHeight="1" spans="1:17">
      <c r="A33" s="3" t="s">
        <v>368</v>
      </c>
      <c r="B33" s="3" t="s">
        <v>59</v>
      </c>
      <c r="C33" s="3" t="s">
        <v>35</v>
      </c>
      <c r="D33" s="3" t="s">
        <v>369</v>
      </c>
      <c r="E33" s="3" t="s">
        <v>370</v>
      </c>
      <c r="F33" s="3" t="s">
        <v>371</v>
      </c>
      <c r="G33" s="3" t="s">
        <v>6</v>
      </c>
      <c r="H33" s="3" t="s">
        <v>75</v>
      </c>
      <c r="I33" s="3" t="s">
        <v>372</v>
      </c>
      <c r="J33" s="3" t="s">
        <v>373</v>
      </c>
      <c r="K33" s="3" t="s">
        <v>374</v>
      </c>
      <c r="L33" s="3" t="s">
        <v>375</v>
      </c>
      <c r="M33" s="4" t="s">
        <v>68</v>
      </c>
      <c r="N33" s="4" t="s">
        <v>68</v>
      </c>
      <c r="O33" s="3" t="s">
        <v>69</v>
      </c>
      <c r="P33" s="3" t="s">
        <v>376</v>
      </c>
      <c r="Q33" s="3" t="s">
        <v>68</v>
      </c>
    </row>
    <row r="34" ht="78" customHeight="1" spans="1:17">
      <c r="A34" s="3" t="s">
        <v>377</v>
      </c>
      <c r="B34" s="3" t="s">
        <v>59</v>
      </c>
      <c r="C34" s="3" t="s">
        <v>38</v>
      </c>
      <c r="D34" s="3" t="s">
        <v>378</v>
      </c>
      <c r="E34" s="3" t="s">
        <v>379</v>
      </c>
      <c r="F34" s="3" t="s">
        <v>380</v>
      </c>
      <c r="G34" s="3" t="s">
        <v>85</v>
      </c>
      <c r="H34" s="3" t="s">
        <v>381</v>
      </c>
      <c r="I34" s="3" t="s">
        <v>382</v>
      </c>
      <c r="J34" s="3" t="s">
        <v>383</v>
      </c>
      <c r="K34" s="3" t="s">
        <v>384</v>
      </c>
      <c r="L34" s="3" t="s">
        <v>385</v>
      </c>
      <c r="M34" s="4" t="s">
        <v>68</v>
      </c>
      <c r="N34" s="4" t="s">
        <v>68</v>
      </c>
      <c r="O34" s="3" t="s">
        <v>69</v>
      </c>
      <c r="P34" s="3" t="s">
        <v>386</v>
      </c>
      <c r="Q34" s="3" t="s">
        <v>68</v>
      </c>
    </row>
  </sheetData>
  <mergeCells count="1">
    <mergeCell ref="A1:Q1"/>
  </mergeCells>
  <conditionalFormatting sqref="O3:O34">
    <cfRule type="containsText" dxfId="0" priority="1" operator="between" text="通过">
      <formula>NOT(ISERROR(SEARCH("通过",O3)))</formula>
    </cfRule>
    <cfRule type="containsText" dxfId="1" priority="2" operator="between" text="失败">
      <formula>NOT(ISERROR(SEARCH("失败",O3)))</formula>
    </cfRule>
    <cfRule type="containsText" dxfId="2" priority="3" operator="between" text="阻塞">
      <formula>NOT(ISERROR(SEARCH("阻塞",O3)))</formula>
    </cfRule>
  </conditionalFormatting>
  <dataValidations count="3">
    <dataValidation type="list" sqref="B3:B34">
      <formula1>"P0,P1,P2,P3"</formula1>
    </dataValidation>
    <dataValidation type="list" sqref="F3:F34">
      <formula1>"可自动化：API/Schema/状态,可自动化：UI/Playwright,可自动化：性能/监控,可自动化：可靠性/事件,部分自动化：人工复核,不可全自动：人工判断"</formula1>
    </dataValidation>
    <dataValidation type="list" sqref="O3:O34">
      <formula1>"未执行,执行中,通过,失败,阻塞,不适用"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showGridLines="0" workbookViewId="0">
      <selection activeCell="A1" sqref="A1:G1"/>
    </sheetView>
  </sheetViews>
  <sheetFormatPr defaultColWidth="9" defaultRowHeight="16.8" outlineLevelCol="6"/>
  <cols>
    <col min="1" max="1" width="18" customWidth="1"/>
    <col min="2" max="2" width="28" customWidth="1"/>
    <col min="3" max="3" width="32" customWidth="1"/>
    <col min="4" max="5" width="20" customWidth="1"/>
    <col min="6" max="6" width="24" customWidth="1"/>
    <col min="7" max="7" width="34" customWidth="1"/>
  </cols>
  <sheetData>
    <row r="1" ht="20.4" spans="1:7">
      <c r="A1" s="1" t="s">
        <v>387</v>
      </c>
      <c r="B1" s="1"/>
      <c r="C1" s="1"/>
      <c r="D1" s="1"/>
      <c r="E1" s="1"/>
      <c r="F1" s="1"/>
      <c r="G1" s="1"/>
    </row>
    <row r="2" ht="34" customHeight="1" spans="1:7">
      <c r="A2" s="2" t="s">
        <v>388</v>
      </c>
      <c r="B2" s="2" t="s">
        <v>389</v>
      </c>
      <c r="C2" s="2" t="s">
        <v>390</v>
      </c>
      <c r="D2" s="2" t="s">
        <v>391</v>
      </c>
      <c r="E2" s="2" t="s">
        <v>392</v>
      </c>
      <c r="F2" s="2" t="s">
        <v>393</v>
      </c>
      <c r="G2" s="2" t="s">
        <v>394</v>
      </c>
    </row>
    <row r="3" ht="56" customHeight="1" spans="1:7">
      <c r="A3" s="3" t="s">
        <v>10</v>
      </c>
      <c r="B3" s="3" t="s">
        <v>395</v>
      </c>
      <c r="C3" s="3" t="s">
        <v>396</v>
      </c>
      <c r="D3" s="3" t="s">
        <v>11</v>
      </c>
      <c r="E3" s="3" t="s">
        <v>397</v>
      </c>
      <c r="F3" s="3" t="s">
        <v>159</v>
      </c>
      <c r="G3" s="3" t="s">
        <v>398</v>
      </c>
    </row>
    <row r="4" ht="56" customHeight="1" spans="1:7">
      <c r="A4" s="3" t="s">
        <v>15</v>
      </c>
      <c r="B4" s="3" t="s">
        <v>399</v>
      </c>
      <c r="C4" s="3" t="s">
        <v>400</v>
      </c>
      <c r="D4" s="3" t="s">
        <v>24</v>
      </c>
      <c r="E4" s="3" t="s">
        <v>401</v>
      </c>
      <c r="F4" s="3" t="s">
        <v>402</v>
      </c>
      <c r="G4" s="3" t="s">
        <v>403</v>
      </c>
    </row>
    <row r="5" ht="56" customHeight="1" spans="1:7">
      <c r="A5" s="3" t="s">
        <v>20</v>
      </c>
      <c r="B5" s="3" t="s">
        <v>404</v>
      </c>
      <c r="C5" s="3" t="s">
        <v>405</v>
      </c>
      <c r="D5" s="3" t="s">
        <v>11</v>
      </c>
      <c r="E5" s="3" t="s">
        <v>406</v>
      </c>
      <c r="F5" s="3" t="s">
        <v>322</v>
      </c>
      <c r="G5" s="3" t="s">
        <v>407</v>
      </c>
    </row>
    <row r="6" ht="56" customHeight="1" spans="1:7">
      <c r="A6" s="3" t="s">
        <v>23</v>
      </c>
      <c r="B6" s="3" t="s">
        <v>408</v>
      </c>
      <c r="C6" s="3" t="s">
        <v>409</v>
      </c>
      <c r="D6" s="3" t="s">
        <v>24</v>
      </c>
      <c r="E6" s="3" t="s">
        <v>410</v>
      </c>
      <c r="F6" s="3" t="s">
        <v>411</v>
      </c>
      <c r="G6" s="3" t="s">
        <v>412</v>
      </c>
    </row>
    <row r="7" ht="56" customHeight="1" spans="1:7">
      <c r="A7" s="3" t="s">
        <v>27</v>
      </c>
      <c r="B7" s="3" t="s">
        <v>413</v>
      </c>
      <c r="C7" s="3" t="s">
        <v>414</v>
      </c>
      <c r="D7" s="3" t="s">
        <v>415</v>
      </c>
      <c r="E7" s="3" t="s">
        <v>416</v>
      </c>
      <c r="F7" s="3" t="s">
        <v>417</v>
      </c>
      <c r="G7" s="3" t="s">
        <v>418</v>
      </c>
    </row>
    <row r="8" ht="56" customHeight="1" spans="1:7">
      <c r="A8" s="3" t="s">
        <v>31</v>
      </c>
      <c r="B8" s="3" t="s">
        <v>419</v>
      </c>
      <c r="C8" s="3" t="s">
        <v>420</v>
      </c>
      <c r="D8" s="3" t="s">
        <v>32</v>
      </c>
      <c r="E8" s="3" t="s">
        <v>421</v>
      </c>
      <c r="F8" s="3" t="s">
        <v>352</v>
      </c>
      <c r="G8" s="3" t="s">
        <v>348</v>
      </c>
    </row>
    <row r="9" ht="56" customHeight="1" spans="1:7">
      <c r="A9" s="3" t="s">
        <v>35</v>
      </c>
      <c r="B9" s="3" t="s">
        <v>422</v>
      </c>
      <c r="C9" s="3" t="s">
        <v>423</v>
      </c>
      <c r="D9" s="3" t="s">
        <v>424</v>
      </c>
      <c r="E9" s="3" t="s">
        <v>425</v>
      </c>
      <c r="F9" s="3" t="s">
        <v>75</v>
      </c>
      <c r="G9" s="3" t="s">
        <v>426</v>
      </c>
    </row>
    <row r="10" ht="56" customHeight="1" spans="1:7">
      <c r="A10" s="3" t="s">
        <v>378</v>
      </c>
      <c r="B10" s="3" t="s">
        <v>427</v>
      </c>
      <c r="C10" s="3" t="s">
        <v>428</v>
      </c>
      <c r="D10" s="3" t="s">
        <v>24</v>
      </c>
      <c r="E10" s="3" t="s">
        <v>429</v>
      </c>
      <c r="F10" s="3" t="s">
        <v>381</v>
      </c>
      <c r="G10" s="3" t="s">
        <v>430</v>
      </c>
    </row>
  </sheetData>
  <mergeCells count="1">
    <mergeCell ref="A1:G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showGridLines="0" workbookViewId="0">
      <selection activeCell="A1" sqref="A1:F1"/>
    </sheetView>
  </sheetViews>
  <sheetFormatPr defaultColWidth="9" defaultRowHeight="16.8" outlineLevelCol="5"/>
  <cols>
    <col min="1" max="2" width="16" customWidth="1"/>
    <col min="3" max="3" width="30" customWidth="1"/>
    <col min="4" max="4" width="16" customWidth="1"/>
    <col min="5" max="6" width="24" customWidth="1"/>
  </cols>
  <sheetData>
    <row r="1" ht="20.4" spans="1:6">
      <c r="A1" s="1" t="s">
        <v>431</v>
      </c>
      <c r="B1" s="1"/>
      <c r="C1" s="1"/>
      <c r="D1" s="1"/>
      <c r="E1" s="1"/>
      <c r="F1" s="1"/>
    </row>
    <row r="2" ht="17" spans="1:6">
      <c r="A2" s="2" t="s">
        <v>43</v>
      </c>
      <c r="B2" s="2" t="s">
        <v>55</v>
      </c>
      <c r="C2" s="2" t="s">
        <v>432</v>
      </c>
      <c r="D2" s="2" t="s">
        <v>433</v>
      </c>
      <c r="E2" s="2" t="s">
        <v>4</v>
      </c>
      <c r="F2" s="2" t="s">
        <v>48</v>
      </c>
    </row>
    <row r="3" ht="17" spans="1:6">
      <c r="A3" s="3" t="s">
        <v>59</v>
      </c>
      <c r="B3" s="3" t="s">
        <v>69</v>
      </c>
      <c r="C3" s="3" t="s">
        <v>434</v>
      </c>
      <c r="D3" s="3" t="s">
        <v>30</v>
      </c>
      <c r="E3" s="3" t="s">
        <v>10</v>
      </c>
      <c r="F3" s="3" t="s">
        <v>201</v>
      </c>
    </row>
    <row r="4" ht="17" spans="1:6">
      <c r="A4" s="3" t="s">
        <v>93</v>
      </c>
      <c r="B4" s="3" t="s">
        <v>435</v>
      </c>
      <c r="C4" s="3" t="s">
        <v>436</v>
      </c>
      <c r="D4" s="3" t="s">
        <v>34</v>
      </c>
      <c r="E4" s="3" t="s">
        <v>15</v>
      </c>
      <c r="F4" s="3" t="s">
        <v>63</v>
      </c>
    </row>
    <row r="5" ht="17" spans="1:6">
      <c r="A5" s="3" t="s">
        <v>437</v>
      </c>
      <c r="B5" s="3" t="s">
        <v>30</v>
      </c>
      <c r="C5" s="3" t="s">
        <v>438</v>
      </c>
      <c r="D5" s="3" t="s">
        <v>37</v>
      </c>
      <c r="E5" s="3" t="s">
        <v>20</v>
      </c>
      <c r="F5" s="3" t="s">
        <v>439</v>
      </c>
    </row>
    <row r="6" ht="17" spans="1:6">
      <c r="A6" s="3" t="s">
        <v>440</v>
      </c>
      <c r="B6" s="3" t="s">
        <v>34</v>
      </c>
      <c r="C6" s="3" t="s">
        <v>441</v>
      </c>
      <c r="D6" s="3" t="s">
        <v>442</v>
      </c>
      <c r="E6" s="3" t="s">
        <v>23</v>
      </c>
      <c r="F6" s="3" t="s">
        <v>443</v>
      </c>
    </row>
    <row r="7" ht="17" spans="1:6">
      <c r="A7" s="3" t="s">
        <v>68</v>
      </c>
      <c r="B7" s="3" t="s">
        <v>37</v>
      </c>
      <c r="C7" s="3" t="s">
        <v>444</v>
      </c>
      <c r="D7" s="3" t="s">
        <v>68</v>
      </c>
      <c r="E7" s="3" t="s">
        <v>27</v>
      </c>
      <c r="F7" s="3" t="s">
        <v>75</v>
      </c>
    </row>
    <row r="8" ht="17" spans="1:6">
      <c r="A8" s="3" t="s">
        <v>68</v>
      </c>
      <c r="B8" s="3" t="s">
        <v>442</v>
      </c>
      <c r="C8" s="3" t="s">
        <v>445</v>
      </c>
      <c r="D8" s="3" t="s">
        <v>68</v>
      </c>
      <c r="E8" s="3" t="s">
        <v>31</v>
      </c>
      <c r="F8" s="3" t="s">
        <v>446</v>
      </c>
    </row>
    <row r="9" ht="17" spans="1:6">
      <c r="A9" s="3" t="s">
        <v>68</v>
      </c>
      <c r="B9" s="3" t="s">
        <v>68</v>
      </c>
      <c r="C9" s="3" t="s">
        <v>68</v>
      </c>
      <c r="D9" s="3" t="s">
        <v>68</v>
      </c>
      <c r="E9" s="3" t="s">
        <v>447</v>
      </c>
      <c r="F9" s="3" t="s">
        <v>448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用例总览</vt:lpstr>
      <vt:lpstr>测试用例</vt:lpstr>
      <vt:lpstr>覆盖矩阵</vt:lpstr>
      <vt:lpstr>下拉选项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故里有长安</cp:lastModifiedBy>
  <dcterms:created xsi:type="dcterms:W3CDTF">2026-08-13T15:09:49Z</dcterms:created>
  <dcterms:modified xsi:type="dcterms:W3CDTF">2026-08-13T16:44:47Z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6473889CA3A6EE13596E7D6A520C86B8_42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